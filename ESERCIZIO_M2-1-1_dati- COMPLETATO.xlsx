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esktop\EPi\Esercizi\W2D1\"/>
    </mc:Choice>
  </mc:AlternateContent>
  <xr:revisionPtr revIDLastSave="0" documentId="13_ncr:1_{D5A6621A-6CD7-4BCB-A634-2751C3D990A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11" i="3" l="1"/>
  <c r="I12" i="3"/>
  <c r="I13" i="3"/>
  <c r="I14" i="3"/>
  <c r="I15" i="3"/>
  <c r="I16" i="3"/>
  <c r="I10" i="3"/>
  <c r="I3" i="3"/>
  <c r="I4" i="3"/>
  <c r="I5" i="3"/>
  <c r="I2" i="3"/>
  <c r="H2" i="2"/>
  <c r="H3" i="2"/>
  <c r="H4" i="2"/>
  <c r="H5" i="2"/>
  <c r="H11" i="3"/>
  <c r="H10" i="3"/>
  <c r="H12" i="3"/>
  <c r="H13" i="3"/>
  <c r="H14" i="3"/>
  <c r="H15" i="3"/>
  <c r="H16" i="3"/>
  <c r="H5" i="3"/>
  <c r="H3" i="3"/>
  <c r="H4" i="3"/>
  <c r="H2" i="3"/>
  <c r="D3" i="2"/>
  <c r="D4" i="2"/>
  <c r="D5" i="2"/>
  <c r="D6" i="2"/>
  <c r="D7" i="2"/>
  <c r="D8" i="2"/>
  <c r="D9" i="2"/>
  <c r="D2" i="2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<sst xmlns="http://schemas.openxmlformats.org/spreadsheetml/2006/main" count="839" uniqueCount="590">
  <si>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</si>
  <si>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</si>
  <si>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</si>
  <si>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</si>
  <si>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</si>
  <si>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</si>
  <si>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</si>
  <si>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</si>
  <si>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</si>
  <si>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</si>
  <si>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</si>
  <si>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</si>
  <si>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</si>
  <si>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</si>
  <si>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</si>
  <si>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</si>
  <si>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</si>
  <si>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</si>
  <si>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</si>
  <si>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</si>
  <si>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</si>
  <si>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</si>
  <si>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</si>
  <si>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</si>
  <si>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</si>
  <si>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</si>
  <si>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</si>
  <si>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</si>
  <si>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</si>
  <si>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</si>
  <si>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</si>
  <si>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</si>
  <si>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</si>
  <si>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</si>
  <si>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</si>
  <si>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</si>
  <si>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</si>
  <si>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</si>
  <si>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</si>
  <si>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</si>
  <si>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</si>
  <si>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</si>
  <si>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</si>
  <si>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</si>
  <si>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</si>
  <si>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</si>
  <si>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</si>
  <si>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</si>
  <si>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</si>
  <si>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</si>
  <si>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</si>
  <si>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</si>
  <si>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</si>
  <si>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</si>
  <si>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</si>
  <si>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</si>
  <si>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</si>
  <si>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</si>
  <si>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</si>
  <si>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</si>
  <si>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</si>
  <si>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</si>
  <si>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</si>
  <si>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</si>
  <si>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</si>
  <si>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</si>
  <si>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</si>
  <si>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</si>
  <si>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</si>
  <si>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</si>
  <si>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</si>
  <si>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</si>
  <si>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</si>
  <si>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</si>
  <si>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</si>
  <si>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</si>
  <si>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</si>
  <si>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</si>
  <si>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</si>
  <si>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</si>
  <si>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</si>
  <si>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</si>
  <si>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</si>
  <si>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</si>
  <si>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</si>
  <si>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</si>
  <si>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</si>
  <si>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</si>
  <si>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</si>
  <si>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</si>
  <si>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</si>
  <si>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</si>
  <si>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</si>
  <si>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</si>
  <si>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</si>
  <si>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</si>
  <si>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</si>
  <si>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</si>
  <si>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</si>
  <si>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</si>
  <si>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</si>
  <si>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</si>
  <si>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</si>
  <si>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</si>
  <si>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</si>
  <si>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</si>
  <si>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</si>
  <si>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</si>
  <si>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</si>
  <si>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</si>
  <si>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</si>
  <si>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</si>
  <si>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</si>
  <si>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</si>
  <si>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</si>
  <si>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</si>
  <si>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</si>
  <si>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</si>
  <si>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</si>
  <si>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</si>
  <si>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</si>
  <si>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</si>
  <si>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</si>
  <si>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</si>
  <si>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</si>
  <si>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</si>
  <si>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</si>
  <si>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</si>
  <si>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</si>
  <si>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</si>
  <si>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</si>
  <si>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</si>
  <si>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</si>
  <si>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</si>
  <si>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</si>
  <si>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</si>
  <si>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</si>
  <si>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</si>
  <si>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</si>
  <si>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</si>
  <si>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</si>
  <si>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</si>
  <si>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</si>
  <si>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</si>
  <si>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</si>
  <si>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</si>
  <si>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</si>
  <si>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</si>
  <si>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</si>
  <si>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</si>
  <si>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</si>
  <si>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</si>
  <si>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</si>
  <si>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</si>
  <si>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</si>
  <si>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</si>
  <si>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</si>
  <si>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</si>
  <si>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</si>
  <si>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</si>
  <si>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</si>
  <si>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</si>
  <si>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</si>
  <si>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</si>
  <si>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</si>
  <si>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</si>
  <si>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</si>
  <si>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</si>
  <si>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</si>
  <si>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</si>
  <si>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</si>
  <si>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</si>
  <si>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</si>
  <si>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</si>
  <si>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</si>
  <si>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</si>
  <si>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</si>
  <si>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</si>
  <si>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</si>
  <si>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</si>
  <si>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</si>
  <si>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</si>
  <si>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</si>
  <si>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</si>
  <si>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</si>
  <si>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</si>
  <si>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</si>
  <si>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</si>
  <si>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</si>
  <si>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</si>
  <si>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</si>
  <si>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</si>
  <si>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</si>
  <si>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</si>
  <si>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</si>
  <si>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</si>
  <si>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</si>
  <si>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</si>
  <si>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</si>
  <si>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</si>
  <si>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</si>
  <si>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</si>
  <si>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</si>
  <si>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</si>
  <si>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</si>
  <si>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</si>
  <si>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</si>
  <si>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</si>
  <si>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</si>
  <si>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</si>
  <si>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</si>
  <si>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</si>
  <si>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</si>
  <si>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</si>
  <si>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</si>
  <si>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</si>
  <si>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</si>
  <si>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</si>
  <si>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</si>
  <si>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</si>
  <si>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</si>
  <si>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</si>
  <si>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</si>
  <si>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</si>
  <si>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</si>
  <si>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</si>
  <si>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</si>
  <si>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</si>
  <si>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</si>
  <si>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</si>
  <si>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</si>
  <si>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</si>
  <si>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</si>
  <si>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</si>
  <si>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</si>
  <si>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</si>
  <si>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</si>
  <si>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</si>
  <si>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</si>
  <si>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</si>
  <si>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</si>
  <si>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</si>
  <si>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</si>
  <si>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</si>
  <si>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</si>
  <si>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</si>
  <si>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</si>
  <si>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</si>
  <si>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</si>
  <si>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</si>
  <si>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</si>
  <si>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</si>
  <si>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</si>
  <si>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</si>
  <si>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</si>
  <si>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</si>
  <si>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</si>
  <si>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</si>
  <si>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</si>
  <si>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</si>
  <si>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</si>
  <si>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</si>
  <si>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</si>
  <si>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</si>
  <si>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</si>
  <si>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</si>
  <si>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</si>
  <si>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</si>
  <si>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</si>
  <si>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</si>
  <si>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</si>
  <si>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</si>
  <si>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</si>
  <si>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</si>
  <si>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</si>
  <si>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</si>
  <si>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</si>
  <si>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</si>
  <si>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</si>
  <si>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</si>
  <si>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</si>
  <si>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</si>
  <si>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</si>
  <si>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</si>
  <si>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</si>
  <si>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</si>
  <si>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</si>
  <si>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</si>
  <si>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</si>
  <si>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</si>
  <si>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</si>
  <si>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</si>
  <si>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</si>
  <si>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</si>
  <si>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</si>
  <si>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</si>
  <si>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</si>
  <si>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</si>
  <si>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</si>
  <si>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</si>
  <si>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</si>
  <si>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</si>
  <si>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</si>
  <si>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</si>
  <si>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</si>
  <si>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</si>
  <si>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</si>
  <si>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</si>
  <si>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</si>
  <si>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</si>
  <si>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</si>
  <si>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</si>
  <si>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</si>
  <si>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</si>
  <si>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</si>
  <si>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</si>
  <si>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</si>
  <si>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</si>
  <si>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</si>
  <si>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</si>
  <si>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</si>
  <si>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</si>
  <si>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</si>
  <si>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</si>
  <si>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</si>
  <si>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</si>
  <si>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</si>
  <si>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</si>
  <si>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</si>
  <si>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</si>
  <si>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</si>
  <si>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</si>
  <si>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</si>
  <si>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</si>
  <si>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</si>
  <si>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</si>
  <si>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</si>
  <si>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</si>
  <si>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</si>
  <si>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</si>
  <si>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</si>
  <si>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</si>
  <si>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</si>
  <si>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</si>
  <si>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</si>
  <si>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</si>
  <si>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</si>
  <si>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</si>
  <si>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</si>
  <si>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</si>
  <si>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</si>
  <si>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</si>
  <si>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</si>
  <si>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</si>
  <si>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</si>
  <si>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</si>
  <si>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</si>
  <si>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</si>
  <si>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</si>
  <si>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</si>
  <si>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</si>
  <si>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</si>
  <si>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</si>
  <si>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</si>
  <si>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</si>
  <si>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</si>
  <si>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</si>
  <si>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</si>
  <si>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</si>
  <si>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</si>
  <si>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</si>
  <si>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</si>
  <si>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</si>
  <si>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</si>
  <si>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</si>
  <si>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</si>
  <si>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</si>
  <si>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</si>
  <si>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</si>
  <si>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</si>
  <si>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</si>
  <si>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</si>
  <si>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</si>
  <si>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</si>
  <si>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</si>
  <si>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</si>
  <si>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</si>
  <si>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</si>
  <si>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</si>
  <si>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</si>
  <si>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</si>
  <si>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</si>
  <si>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</si>
  <si>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</si>
  <si>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</si>
  <si>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</si>
  <si>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</si>
  <si>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</si>
  <si>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</si>
  <si>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</si>
  <si>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</si>
  <si>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</si>
  <si>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</si>
  <si>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</si>
  <si>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</si>
  <si>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</si>
  <si>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</si>
  <si>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</si>
  <si>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</si>
  <si>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</si>
  <si>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</si>
  <si>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</si>
  <si>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</si>
  <si>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</si>
  <si>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</si>
  <si>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</si>
  <si>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</si>
  <si>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</si>
  <si>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</si>
  <si>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</si>
  <si>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</si>
  <si>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</si>
  <si>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</si>
  <si>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</si>
  <si>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</si>
  <si>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</si>
  <si>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</si>
  <si>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</si>
  <si>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</si>
  <si>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</si>
  <si>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</si>
  <si>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</si>
  <si>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</si>
  <si>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</si>
  <si>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</si>
  <si>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</si>
  <si>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</si>
  <si>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</si>
  <si>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</si>
  <si>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</si>
  <si>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</si>
  <si>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</si>
  <si>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</si>
  <si>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</si>
  <si>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</si>
  <si>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</si>
  <si>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</si>
  <si>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</si>
  <si>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</si>
  <si>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</si>
  <si>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</si>
  <si>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</si>
  <si>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</si>
  <si>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</si>
  <si>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</si>
  <si>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</si>
  <si>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</si>
  <si>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</si>
  <si>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</si>
  <si>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</si>
  <si>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</si>
  <si>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</si>
  <si>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</si>
  <si>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</si>
  <si>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</si>
  <si>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</si>
  <si>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</si>
  <si>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</si>
  <si>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</si>
  <si>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</si>
  <si>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</si>
  <si>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</si>
  <si>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</si>
  <si>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</si>
  <si>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</si>
  <si>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</si>
  <si>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</si>
  <si>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</si>
  <si>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</si>
  <si>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</si>
  <si>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</si>
  <si>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</si>
  <si>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</si>
  <si>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</si>
  <si>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</si>
  <si>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</si>
  <si>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</si>
  <si>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</si>
  <si>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</si>
  <si>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</si>
  <si>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</si>
  <si>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</si>
  <si>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</si>
  <si>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</si>
  <si>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</si>
  <si>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</si>
  <si>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</si>
  <si>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</si>
  <si>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</si>
  <si>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</si>
  <si>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</si>
  <si>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</si>
  <si>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</si>
  <si>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</si>
  <si>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</si>
  <si>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</si>
  <si>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</si>
  <si>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</si>
  <si>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</si>
  <si>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</si>
  <si>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</si>
  <si>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</si>
  <si>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</si>
  <si>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</si>
  <si>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</si>
  <si>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</si>
  <si>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</si>
  <si>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</si>
  <si>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</si>
  <si>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</si>
  <si>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</si>
  <si>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</si>
  <si>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</si>
  <si>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</si>
  <si>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</si>
  <si>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</si>
  <si>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</si>
  <si>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</si>
  <si>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</si>
  <si>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</si>
  <si>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</si>
  <si>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</si>
  <si>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</si>
  <si>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</si>
  <si>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</si>
  <si>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</si>
  <si>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</si>
  <si>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</si>
  <si>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</si>
  <si>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</si>
  <si>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</si>
  <si>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</si>
  <si>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</si>
  <si>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</si>
  <si>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</si>
  <si>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</si>
  <si>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</si>
  <si>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</si>
  <si>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</si>
  <si>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</si>
  <si>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</si>
  <si>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</si>
  <si>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</si>
  <si>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</si>
  <si>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</si>
  <si>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</si>
  <si>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</si>
  <si>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</si>
  <si>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</si>
  <si>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</si>
  <si>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</si>
  <si>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</si>
  <si>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</si>
  <si>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</si>
  <si>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</si>
  <si>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</si>
  <si>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</si>
  <si>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</si>
  <si>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</si>
  <si>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</si>
  <si>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CONCATENATO</t>
  </si>
  <si>
    <t>Buono</t>
  </si>
  <si>
    <t>Discreto</t>
  </si>
  <si>
    <t>Sufficiente</t>
  </si>
  <si>
    <t xml:space="preserve">Respinto </t>
  </si>
  <si>
    <t>VOTO</t>
  </si>
  <si>
    <t>GIUDIZIO</t>
  </si>
  <si>
    <t>CERCA.VE</t>
  </si>
  <si>
    <t>CERCA X</t>
  </si>
  <si>
    <t>CERCA.VER</t>
  </si>
  <si>
    <t>COLONNA NUMERICO DEL DATO;COLONNA DI RIFERIMENTO GIUZIO;NUMERO COLONNA DEL DATO CHE VUOI; FALSO</t>
  </si>
  <si>
    <t>COLONNA NUMERICO DEL DATO;COLONNA DI RIFERIMENTO GIUZIO (TUTTA LA COLONNA);"VALORE NON TROVATO"; FALSO</t>
  </si>
  <si>
    <t>Funzione</t>
  </si>
  <si>
    <t>?</t>
  </si>
  <si>
    <t>CONTA SE</t>
  </si>
  <si>
    <t>COLONNA DI CONTA; COLONNA/RIGA DELLA CATEGORIA RICHIESTA</t>
  </si>
  <si>
    <t>Fatture emesse</t>
  </si>
  <si>
    <t>Tot. Fatture</t>
  </si>
  <si>
    <t>Fatturato per cliente</t>
  </si>
  <si>
    <t>Categotia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</si>
</sst>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  <numFmt numFmtId="170" formatCode="_-* #,##0.00\ [$€-410]_-;\-* #,##0.00\ [$€-410]_-;_-* &quot;-&quot;??\ [$€-410]_-;_-@_-"/>
  </numFmts>
  <fonts count="15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3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167" fontId="0" fillId="0" borderId="0" xfId="0" applyNumberForma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1" xfId="0" applyFont="1" applyBorder="1"/>
    <xf numFmtId="44" fontId="0" fillId="0" borderId="0" xfId="2" applyFont="1"/>
    <xf numFmtId="170" fontId="0" fillId="0" borderId="0" xfId="1" applyNumberFormat="1" applyFont="1"/>
    <xf numFmtId="167" fontId="0" fillId="0" borderId="0" xfId="1" applyNumberFormat="1" applyFont="1"/>
  </cellXfs>
  <cellStyles count="3">
    <cellStyle name="Migliaia" xfId="1" builtinId="3"/>
    <cellStyle name="Normale" xfId="0" builtinId="0"/>
    <cellStyle name="Valuta" xfId="2" builtinId="4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9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se</calculatedColumnFormula>
    </tableColumn>
    <tableColumn id="4" xr3:uid="{AFEB3DB3-EACC-4A81-B986-7BB73971C8A2}" name="Colonna1"/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8.5546875" customWidth="1"/>
    <col min="5" max="5" width="47.6640625" customWidth="1"/>
    <col min="6" max="6" width="5.5546875" customWidth="1"/>
    <col min="7" max="7" width="7.109375" customWidth="1"/>
    <col min="8" max="26" width="8.664062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570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C2*(20/120)</f>
        <v>46833.333333333328</v>
      </c>
      <c r="E2" s="4" t="str">
        <f>CONCATENATE(A2," ", B2)</f>
        <v>MON.SVGA 0,28 14" AOC 4VLR 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C3*(20/120)</f>
        <v>53833.333333333328</v>
      </c>
      <c r="E3" s="4" t="str">
        <f t="shared" ref="E3:E66" si="1">CONCATENATE(A3," ", B3)</f>
        <v>MON.SVGA 0,28 15" AOC 5VLR 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57333.333333333328</v>
      </c>
      <c r="E4" s="4" t="str">
        <f t="shared" si="1"/>
        <v>MON.SVGA 0,28 15" AOC 5NLR OSD 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60166.666666666664</v>
      </c>
      <c r="E5" s="4" t="str">
        <f t="shared" si="1"/>
        <v>MON.SVGA 0,28 15" AOC 5GLR+ OSD 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86833.333333333328</v>
      </c>
      <c r="E6" s="4" t="str">
        <f t="shared" si="1"/>
        <v>MON. 15" 0.23 CM500ET HITACHI 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87833.333333333328</v>
      </c>
      <c r="E7" s="4" t="str">
        <f t="shared" si="1"/>
        <v>MON. 15" 0.28 A500 NEC 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104333.33333333333</v>
      </c>
      <c r="E8" s="4" t="str">
        <f t="shared" si="1"/>
        <v>MON.SVGA 0,28 17" AOC 7VLR 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109333.33333333333</v>
      </c>
      <c r="E9" s="4" t="str">
        <f t="shared" si="1"/>
        <v>MON. 15" 0.25 E500 NEC, Croma Clear 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111000</v>
      </c>
      <c r="E10" s="4" t="str">
        <f t="shared" si="1"/>
        <v>MON.SVGA 0,26 17" AOC 7GLR OSD 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147000</v>
      </c>
      <c r="E11" s="4" t="str">
        <f t="shared" si="1"/>
        <v>MON. 17" 0.28 A700 NEC 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184666.66666666666</v>
      </c>
      <c r="E12" s="4" t="str">
        <f t="shared" si="1"/>
        <v xml:space="preserve">MON. 17" 0.21 CM630ET HITACHI 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219333.33333333331</v>
      </c>
      <c r="E13" s="4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265666.66666666663</v>
      </c>
      <c r="E14" s="4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453166.66666666663</v>
      </c>
      <c r="E15" s="4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>
        <f t="shared" si="0"/>
        <v>0</v>
      </c>
      <c r="E16" s="4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682000</v>
      </c>
      <c r="E17" s="4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2309833.333333333</v>
      </c>
      <c r="E18" s="4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>
        <f t="shared" si="0"/>
        <v>0</v>
      </c>
      <c r="E19" s="4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27833.333333333332</v>
      </c>
      <c r="E20" s="4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33666.666666666664</v>
      </c>
      <c r="E21" s="4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33833.333333333328</v>
      </c>
      <c r="E22" s="4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39000</v>
      </c>
      <c r="E23" s="4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42000</v>
      </c>
      <c r="E24" s="4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43166.666666666664</v>
      </c>
      <c r="E25" s="4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44833.333333333328</v>
      </c>
      <c r="E26" s="4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45166.666666666664</v>
      </c>
      <c r="E27" s="4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48666.666666666664</v>
      </c>
      <c r="E28" s="4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48833.333333333328</v>
      </c>
      <c r="E29" s="4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51166.666666666664</v>
      </c>
      <c r="E30" s="4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73333.333333333328</v>
      </c>
      <c r="E31" s="4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81166.666666666657</v>
      </c>
      <c r="E32" s="4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94333.333333333328</v>
      </c>
      <c r="E33" s="4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133666.66666666666</v>
      </c>
      <c r="E34" s="4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263166.66666666663</v>
      </c>
      <c r="E35" s="4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>
        <f t="shared" si="0"/>
        <v>0</v>
      </c>
      <c r="E36" s="4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11666.666666666666</v>
      </c>
      <c r="E37" s="4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17333.333333333332</v>
      </c>
      <c r="E38" s="4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21166.666666666664</v>
      </c>
      <c r="E39" s="4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27000</v>
      </c>
      <c r="E40" s="4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29833.333333333332</v>
      </c>
      <c r="E41" s="4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31000</v>
      </c>
      <c r="E42" s="4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31000</v>
      </c>
      <c r="E43" s="4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33833.333333333328</v>
      </c>
      <c r="E44" s="4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35333.333333333328</v>
      </c>
      <c r="E45" s="4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37000</v>
      </c>
      <c r="E46" s="4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40833.333333333328</v>
      </c>
      <c r="E47" s="4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41833.333333333328</v>
      </c>
      <c r="E48" s="4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42833.333333333328</v>
      </c>
      <c r="E49" s="4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44833.333333333328</v>
      </c>
      <c r="E50" s="4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52333.333333333328</v>
      </c>
      <c r="E51" s="4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54166.666666666664</v>
      </c>
      <c r="E52" s="4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57833.333333333328</v>
      </c>
      <c r="E53" s="4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61500</v>
      </c>
      <c r="E54" s="4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67000</v>
      </c>
      <c r="E55" s="4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78500</v>
      </c>
      <c r="E56" s="4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79333.333333333328</v>
      </c>
      <c r="E57" s="4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82000</v>
      </c>
      <c r="E58" s="4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88500</v>
      </c>
      <c r="E59" s="4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92000</v>
      </c>
      <c r="E60" s="4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247833.33333333331</v>
      </c>
      <c r="E61" s="4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>
        <f t="shared" si="0"/>
        <v>0</v>
      </c>
      <c r="E62" s="4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16833.333333333332</v>
      </c>
      <c r="E63" s="4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6333.333333333333</v>
      </c>
      <c r="E64" s="4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22833.333333333332</v>
      </c>
      <c r="E65" s="4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37000</v>
      </c>
      <c r="E66" s="4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C67*(20/120)</f>
        <v>83500</v>
      </c>
      <c r="E67" s="4" t="str">
        <f t="shared" ref="E67:E130" si="3">CONCATENATE(A67," ", 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71333.333333333328</v>
      </c>
      <c r="E68" s="4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93500</v>
      </c>
      <c r="E69" s="4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263000</v>
      </c>
      <c r="E70" s="4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5666.6666666666661</v>
      </c>
      <c r="E71" s="4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3333.333333333333</v>
      </c>
      <c r="E72" s="4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3833.333333333333</v>
      </c>
      <c r="E73" s="4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16333.333333333332</v>
      </c>
      <c r="E74" s="4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41833.333333333328</v>
      </c>
      <c r="E75" s="4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2500</v>
      </c>
      <c r="E76" s="4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2333.333333333333</v>
      </c>
      <c r="E77" s="4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>
        <f t="shared" si="2"/>
        <v>0</v>
      </c>
      <c r="E78" s="4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66500</v>
      </c>
      <c r="E79" s="4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43166.666666666664</v>
      </c>
      <c r="E80" s="4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54000</v>
      </c>
      <c r="E81" s="4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63000</v>
      </c>
      <c r="E82" s="4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78166.666666666657</v>
      </c>
      <c r="E83" s="4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92666.666666666657</v>
      </c>
      <c r="E84" s="4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79333.333333333328</v>
      </c>
      <c r="E85" s="4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79500</v>
      </c>
      <c r="E86" s="4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92666.666666666657</v>
      </c>
      <c r="E87" s="4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115833.33333333333</v>
      </c>
      <c r="E88" s="4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213166.66666666666</v>
      </c>
      <c r="E89" s="4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5833.333333333333</v>
      </c>
      <c r="E90" s="4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29166.666666666664</v>
      </c>
      <c r="E91" s="4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45333.333333333328</v>
      </c>
      <c r="E92" s="4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33000</v>
      </c>
      <c r="E93" s="4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48333.333333333328</v>
      </c>
      <c r="E94" s="4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98166.666666666657</v>
      </c>
      <c r="E95" s="4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123833.33333333333</v>
      </c>
      <c r="E96" s="4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45166.666666666664</v>
      </c>
      <c r="E97" s="4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105333.33333333333</v>
      </c>
      <c r="E98" s="4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15000</v>
      </c>
      <c r="E99" s="4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666.66666666666663</v>
      </c>
      <c r="E100" s="4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833.33333333333326</v>
      </c>
      <c r="E101" s="4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6833.333333333333</v>
      </c>
      <c r="E102" s="4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>
        <f t="shared" si="2"/>
        <v>0</v>
      </c>
      <c r="E103" s="4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122833.33333333333</v>
      </c>
      <c r="E104" s="4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151666.66666666666</v>
      </c>
      <c r="E105" s="4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40166.666666666664</v>
      </c>
      <c r="E106" s="4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>
        <f t="shared" si="2"/>
        <v>0</v>
      </c>
      <c r="E107" s="4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18666.666666666664</v>
      </c>
      <c r="E108" s="4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18833.333333333332</v>
      </c>
      <c r="E109" s="4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20166.666666666664</v>
      </c>
      <c r="E110" s="4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26666.666666666664</v>
      </c>
      <c r="E111" s="4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32500</v>
      </c>
      <c r="E112" s="4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35833.333333333328</v>
      </c>
      <c r="E113" s="4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53500</v>
      </c>
      <c r="E114" s="4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102333.33333333333</v>
      </c>
      <c r="E115" s="4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>
        <f t="shared" si="2"/>
        <v>0</v>
      </c>
      <c r="E116" s="4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5000</v>
      </c>
      <c r="E117" s="4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5666.6666666666661</v>
      </c>
      <c r="E118" s="4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5833.333333333333</v>
      </c>
      <c r="E119" s="4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12833.333333333332</v>
      </c>
      <c r="E120" s="4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120500</v>
      </c>
      <c r="E121" s="4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123666.66666666666</v>
      </c>
      <c r="E122" s="4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129666.66666666666</v>
      </c>
      <c r="E123" s="4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146333.33333333331</v>
      </c>
      <c r="E124" s="4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147166.66666666666</v>
      </c>
      <c r="E125" s="4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152166.66666666666</v>
      </c>
      <c r="E126" s="4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187500</v>
      </c>
      <c r="E127" s="4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>
        <f t="shared" si="2"/>
        <v>0</v>
      </c>
      <c r="E128" s="4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5500</v>
      </c>
      <c r="E129" s="4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8666.6666666666661</v>
      </c>
      <c r="E130" s="4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4">C131*(20/120)</f>
        <v>16166.666666666666</v>
      </c>
      <c r="E131" s="4" t="str">
        <f t="shared" ref="E131:E194" si="5">CONCATENATE(A131," ", 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4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21833.333333333332</v>
      </c>
      <c r="E133" s="4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28166.666666666664</v>
      </c>
      <c r="E134" s="4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31666.666666666664</v>
      </c>
      <c r="E135" s="4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31833.333333333332</v>
      </c>
      <c r="E136" s="4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32833.333333333328</v>
      </c>
      <c r="E137" s="4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33500</v>
      </c>
      <c r="E138" s="4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36666.666666666664</v>
      </c>
      <c r="E139" s="4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41666.666666666664</v>
      </c>
      <c r="E140" s="4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42833.333333333328</v>
      </c>
      <c r="E141" s="4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46333.333333333328</v>
      </c>
      <c r="E142" s="4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46666.666666666664</v>
      </c>
      <c r="E143" s="4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50000</v>
      </c>
      <c r="E144" s="4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50833.333333333328</v>
      </c>
      <c r="E145" s="4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55833.333333333328</v>
      </c>
      <c r="E146" s="4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60000</v>
      </c>
      <c r="E147" s="4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71500</v>
      </c>
      <c r="E148" s="4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116833.33333333333</v>
      </c>
      <c r="E149" s="4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>
        <f t="shared" si="4"/>
        <v>0</v>
      </c>
      <c r="E150" s="4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15000</v>
      </c>
      <c r="E151" s="4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11500</v>
      </c>
      <c r="E152" s="4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14833.333333333332</v>
      </c>
      <c r="E153" s="4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23000</v>
      </c>
      <c r="E154" s="4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32666.666666666664</v>
      </c>
      <c r="E155" s="4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54833.333333333328</v>
      </c>
      <c r="E156" s="4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49166.666666666664</v>
      </c>
      <c r="E157" s="4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3166.6666666666665</v>
      </c>
      <c r="E158" s="4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4333.333333333333</v>
      </c>
      <c r="E159" s="4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4666.6666666666661</v>
      </c>
      <c r="E160" s="4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9333.3333333333321</v>
      </c>
      <c r="E161" s="4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4"/>
        <v>0</v>
      </c>
      <c r="E162" s="4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4"/>
        <v>36000</v>
      </c>
      <c r="E163" s="4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4"/>
        <v>41666.666666666664</v>
      </c>
      <c r="E164" s="4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4"/>
        <v>63666.666666666664</v>
      </c>
      <c r="E165" s="4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4"/>
        <v>87333.333333333328</v>
      </c>
      <c r="E166" s="4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4"/>
        <v>126166.66666666666</v>
      </c>
      <c r="E167" s="4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4"/>
        <v>174166.66666666666</v>
      </c>
      <c r="E168" s="4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4"/>
        <v>261333.33333333331</v>
      </c>
      <c r="E169" s="4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4"/>
        <v>19500</v>
      </c>
      <c r="E170" s="4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4"/>
        <v>26333.333333333332</v>
      </c>
      <c r="E171" s="4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4"/>
        <v>43333.333333333328</v>
      </c>
      <c r="E172" s="4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4"/>
        <v>32166.666666666664</v>
      </c>
      <c r="E173" s="4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4"/>
        <v>45000</v>
      </c>
      <c r="E174" s="4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4"/>
        <v>52333.333333333328</v>
      </c>
      <c r="E175" s="4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4"/>
        <v>149000</v>
      </c>
      <c r="E176" s="4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4"/>
        <v>173333.33333333331</v>
      </c>
      <c r="E177" s="4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4"/>
        <v>1333.3333333333333</v>
      </c>
      <c r="E178" s="4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4"/>
        <v>1666.6666666666665</v>
      </c>
      <c r="E179" s="4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4"/>
        <v>4000</v>
      </c>
      <c r="E180" s="4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1833.3333333333333</v>
      </c>
      <c r="E181" s="4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1666.6666666666665</v>
      </c>
      <c r="E182" s="4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4333.333333333333</v>
      </c>
      <c r="E183" s="4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4"/>
        <v>0</v>
      </c>
      <c r="E184" s="4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3666.6666666666665</v>
      </c>
      <c r="E185" s="4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10500</v>
      </c>
      <c r="E186" s="4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10500</v>
      </c>
      <c r="E187" s="4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4333.333333333333</v>
      </c>
      <c r="E188" s="4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4166.6666666666661</v>
      </c>
      <c r="E189" s="4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4166.6666666666661</v>
      </c>
      <c r="E190" s="4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7666.6666666666661</v>
      </c>
      <c r="E191" s="4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4"/>
        <v>0</v>
      </c>
      <c r="E192" s="4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6166.6666666666661</v>
      </c>
      <c r="E193" s="4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6166.6666666666661</v>
      </c>
      <c r="E194" s="4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C195*(20/120)</f>
        <v>1833.3333333333333</v>
      </c>
      <c r="E195" s="4" t="str">
        <f t="shared" ref="E195:E258" si="7">CONCATENATE(A195," ", 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7666.6666666666661</v>
      </c>
      <c r="E196" s="4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3166.6666666666665</v>
      </c>
      <c r="E197" s="4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2166.6666666666665</v>
      </c>
      <c r="E198" s="4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4333.333333333333</v>
      </c>
      <c r="E199" s="4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4333.333333333333</v>
      </c>
      <c r="E200" s="4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3333.333333333333</v>
      </c>
      <c r="E201" s="4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8166.6666666666661</v>
      </c>
      <c r="E202" s="4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5500</v>
      </c>
      <c r="E203" s="4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11333.333333333332</v>
      </c>
      <c r="E204" s="4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5500</v>
      </c>
      <c r="E205" s="4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24500</v>
      </c>
      <c r="E206" s="4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25166.666666666664</v>
      </c>
      <c r="E207" s="4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32833.333333333328</v>
      </c>
      <c r="E208" s="4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51666.666666666664</v>
      </c>
      <c r="E209" s="4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45166.666666666664</v>
      </c>
      <c r="E210" s="4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76333.333333333328</v>
      </c>
      <c r="E211" s="4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68666.666666666657</v>
      </c>
      <c r="E212" s="4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134500</v>
      </c>
      <c r="E213" s="4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6"/>
        <v>666.66666666666663</v>
      </c>
      <c r="E214" s="4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6"/>
        <v>13500</v>
      </c>
      <c r="E215" s="4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6"/>
        <v>20833.333333333332</v>
      </c>
      <c r="E216" s="4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6"/>
        <v>16333.333333333332</v>
      </c>
      <c r="E217" s="4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6"/>
        <v>23333.333333333332</v>
      </c>
      <c r="E218" s="4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833.33333333333326</v>
      </c>
      <c r="E219" s="4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1000</v>
      </c>
      <c r="E220" s="4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6"/>
        <v>1500</v>
      </c>
      <c r="E221" s="4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1333.3333333333333</v>
      </c>
      <c r="E222" s="4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6"/>
        <v>1833.3333333333333</v>
      </c>
      <c r="E223" s="4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3500</v>
      </c>
      <c r="E224" s="4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2333.333333333333</v>
      </c>
      <c r="E225" s="4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3833.333333333333</v>
      </c>
      <c r="E226" s="4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8500</v>
      </c>
      <c r="E227" s="4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>
        <f t="shared" si="6"/>
        <v>0</v>
      </c>
      <c r="E228" s="4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33000</v>
      </c>
      <c r="E229" s="4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27833.333333333332</v>
      </c>
      <c r="E230" s="4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15833.333333333332</v>
      </c>
      <c r="E231" s="4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23500</v>
      </c>
      <c r="E232" s="4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58500</v>
      </c>
      <c r="E233" s="4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69000</v>
      </c>
      <c r="E234" s="4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10166.666666666666</v>
      </c>
      <c r="E235" s="4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148833.33333333331</v>
      </c>
      <c r="E236" s="4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164166.66666666666</v>
      </c>
      <c r="E237" s="4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49333.333333333328</v>
      </c>
      <c r="E238" s="4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114166.66666666666</v>
      </c>
      <c r="E239" s="4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189666.66666666666</v>
      </c>
      <c r="E240" s="4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222333.33333333331</v>
      </c>
      <c r="E241" s="4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5000</v>
      </c>
      <c r="E242" s="4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5000</v>
      </c>
      <c r="E243" s="4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67666.666666666657</v>
      </c>
      <c r="E244" s="4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32833.333333333328</v>
      </c>
      <c r="E245" s="4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107500</v>
      </c>
      <c r="E246" s="4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107500</v>
      </c>
      <c r="E247" s="4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43166.666666666664</v>
      </c>
      <c r="E248" s="4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107666.66666666666</v>
      </c>
      <c r="E249" s="4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43166.666666666664</v>
      </c>
      <c r="E250" s="4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107500</v>
      </c>
      <c r="E251" s="4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146500</v>
      </c>
      <c r="E252" s="4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43166.666666666664</v>
      </c>
      <c r="E253" s="4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45666.666666666664</v>
      </c>
      <c r="E254" s="4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162500</v>
      </c>
      <c r="E255" s="4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80000</v>
      </c>
      <c r="E256" s="4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197833.33333333331</v>
      </c>
      <c r="E257" s="4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138666.66666666666</v>
      </c>
      <c r="E258" s="4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C259*(20/120)</f>
        <v>37833.333333333328</v>
      </c>
      <c r="E259" s="4" t="str">
        <f t="shared" ref="E259:E322" si="9">CONCATENATE(A259," ", 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16333.333333333332</v>
      </c>
      <c r="E260" s="4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198333.33333333331</v>
      </c>
      <c r="E261" s="4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50000</v>
      </c>
      <c r="E262" s="4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401166.66666666663</v>
      </c>
      <c r="E263" s="4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170166.66666666666</v>
      </c>
      <c r="E264" s="4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107666.66666666666</v>
      </c>
      <c r="E265" s="4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43166.666666666664</v>
      </c>
      <c r="E266" s="4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32166.666666666664</v>
      </c>
      <c r="E267" s="4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16000</v>
      </c>
      <c r="E268" s="4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99000</v>
      </c>
      <c r="E269" s="4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47000</v>
      </c>
      <c r="E270" s="4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302333.33333333331</v>
      </c>
      <c r="E271" s="4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32166.666666666664</v>
      </c>
      <c r="E272" s="4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109000</v>
      </c>
      <c r="E273" s="4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121500</v>
      </c>
      <c r="E274" s="4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105333.33333333333</v>
      </c>
      <c r="E275" s="4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40000</v>
      </c>
      <c r="E276" s="4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159166.66666666666</v>
      </c>
      <c r="E277" s="4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187666.66666666666</v>
      </c>
      <c r="E278" s="4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>
        <f t="shared" si="8"/>
        <v>0</v>
      </c>
      <c r="E279" s="4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49500</v>
      </c>
      <c r="E280" s="4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107666.66666666666</v>
      </c>
      <c r="E281" s="4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119000</v>
      </c>
      <c r="E282" s="4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134500</v>
      </c>
      <c r="E283" s="4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98500</v>
      </c>
      <c r="E284" s="4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153000</v>
      </c>
      <c r="E285" s="4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210833.33333333331</v>
      </c>
      <c r="E286" s="4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42666.666666666664</v>
      </c>
      <c r="E287" s="4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61833.333333333328</v>
      </c>
      <c r="E288" s="4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76166.666666666657</v>
      </c>
      <c r="E289" s="4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107000</v>
      </c>
      <c r="E290" s="4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261833.33333333331</v>
      </c>
      <c r="E291" s="4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126000</v>
      </c>
      <c r="E292" s="4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261833.33333333331</v>
      </c>
      <c r="E293" s="4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452666.66666666663</v>
      </c>
      <c r="E294" s="4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106666.66666666666</v>
      </c>
      <c r="E295" s="4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42500</v>
      </c>
      <c r="E296" s="4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68833.333333333328</v>
      </c>
      <c r="E297" s="4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60166.666666666664</v>
      </c>
      <c r="E298" s="4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90666.666666666657</v>
      </c>
      <c r="E299" s="4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113000</v>
      </c>
      <c r="E300" s="4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175666.66666666666</v>
      </c>
      <c r="E301" s="4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80333.333333333328</v>
      </c>
      <c r="E302" s="4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120333.33333333333</v>
      </c>
      <c r="E303" s="4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44833.333333333328</v>
      </c>
      <c r="E304" s="4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61833.333333333328</v>
      </c>
      <c r="E305" s="4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77000</v>
      </c>
      <c r="E306" s="4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90166.666666666657</v>
      </c>
      <c r="E307" s="4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108000</v>
      </c>
      <c r="E308" s="4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107333.33333333333</v>
      </c>
      <c r="E309" s="4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150333.33333333331</v>
      </c>
      <c r="E310" s="4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120333.33333333333</v>
      </c>
      <c r="E311" s="4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242833.33333333331</v>
      </c>
      <c r="E312" s="4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297666.66666666663</v>
      </c>
      <c r="E313" s="4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>
        <f t="shared" si="8"/>
        <v>0</v>
      </c>
      <c r="E314" s="4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14166.666666666666</v>
      </c>
      <c r="E315" s="4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14000</v>
      </c>
      <c r="E316" s="4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19166.666666666664</v>
      </c>
      <c r="E317" s="4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25333.333333333332</v>
      </c>
      <c r="E318" s="4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13666.666666666666</v>
      </c>
      <c r="E319" s="4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14000</v>
      </c>
      <c r="E320" s="4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19166.666666666664</v>
      </c>
      <c r="E321" s="4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25500</v>
      </c>
      <c r="E322" s="4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0">C323*(20/120)</f>
        <v>13333.333333333332</v>
      </c>
      <c r="E323" s="4" t="str">
        <f t="shared" ref="E323:E337" si="11">CONCATENATE(A323," ", 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17000</v>
      </c>
      <c r="E324" s="4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>
        <f t="shared" si="10"/>
        <v>0</v>
      </c>
      <c r="E325" s="4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33000</v>
      </c>
      <c r="E326" s="4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38833.333333333328</v>
      </c>
      <c r="E327" s="4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46500</v>
      </c>
      <c r="E328" s="4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49666.666666666664</v>
      </c>
      <c r="E329" s="4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79666.666666666657</v>
      </c>
      <c r="E330" s="4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104333.33333333333</v>
      </c>
      <c r="E331" s="4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126166.66666666666</v>
      </c>
      <c r="E332" s="4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188000</v>
      </c>
      <c r="E333" s="4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254500</v>
      </c>
      <c r="E334" s="4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689000</v>
      </c>
      <c r="E335" s="4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1141666.6666666665</v>
      </c>
      <c r="E336" s="4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0"/>
        <v>1952000</v>
      </c>
      <c r="E337" s="4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H18" sqref="H18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5" width="9.33203125" customWidth="1"/>
    <col min="6" max="6" width="14.77734375" customWidth="1"/>
    <col min="7" max="7" width="14.33203125" customWidth="1"/>
    <col min="8" max="8" width="14" customWidth="1"/>
    <col min="9" max="10" width="9.33203125" customWidth="1"/>
    <col min="11" max="11" width="14.77734375" customWidth="1"/>
    <col min="12" max="26" width="9.33203125" customWidth="1"/>
  </cols>
  <sheetData>
    <row r="1" spans="1:26" ht="12.75" customHeight="1" x14ac:dyDescent="0.3">
      <c r="A1" s="6" t="s">
        <v>484</v>
      </c>
      <c r="B1" s="6" t="s">
        <v>485</v>
      </c>
      <c r="C1" s="6" t="s">
        <v>577</v>
      </c>
      <c r="D1" s="4" t="s">
        <v>578</v>
      </c>
      <c r="E1" s="15" t="s">
        <v>575</v>
      </c>
      <c r="F1" s="15" t="s">
        <v>576</v>
      </c>
      <c r="G1" s="4"/>
      <c r="H1" s="4"/>
      <c r="I1" s="4"/>
      <c r="J1" s="15" t="s">
        <v>575</v>
      </c>
      <c r="K1" s="15" t="s">
        <v>576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7" t="s">
        <v>486</v>
      </c>
      <c r="B2" s="7">
        <v>40</v>
      </c>
      <c r="C2" s="7" t="str">
        <f>VLOOKUP(Table_1[[#This Row],[Column2]],E:F,2,FALSE)</f>
        <v>Sufficiente</v>
      </c>
      <c r="D2" s="8" t="str">
        <f>_xlfn.XLOOKUP(Table_1[[#This Row],[Column2]],E:E,F:F,"VALORE NON TROVATO",0)</f>
        <v>Sufficiente</v>
      </c>
      <c r="E2" s="4">
        <v>70</v>
      </c>
      <c r="F2" s="15" t="s">
        <v>571</v>
      </c>
      <c r="G2" s="8"/>
      <c r="H2" s="8" t="str">
        <f>VLOOKUP(Table_1[[#This Row],[Column2]],J:K,2,0)</f>
        <v>Sufficiente</v>
      </c>
      <c r="I2" s="8"/>
      <c r="J2" s="4">
        <v>70</v>
      </c>
      <c r="K2" s="15" t="s">
        <v>571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3">
      <c r="A3" s="7" t="s">
        <v>487</v>
      </c>
      <c r="B3" s="7">
        <v>60</v>
      </c>
      <c r="C3" s="7" t="str">
        <f>VLOOKUP(Table_1[[#This Row],[Column2]],E:F,2,FALSE)</f>
        <v>Discreto</v>
      </c>
      <c r="D3" s="8" t="str">
        <f>_xlfn.XLOOKUP(Table_1[[#This Row],[Column2]],E:E,F:F,"VALORE NON TROVATO",0)</f>
        <v>Discreto</v>
      </c>
      <c r="E3" s="4">
        <v>60</v>
      </c>
      <c r="F3" s="15" t="s">
        <v>572</v>
      </c>
      <c r="G3" s="8"/>
      <c r="H3" s="8" t="str">
        <f>VLOOKUP(Table_1[[#This Row],[Column2]],J:K,2,FALSE)</f>
        <v>Discreto</v>
      </c>
      <c r="I3" s="8"/>
      <c r="J3" s="4">
        <v>60</v>
      </c>
      <c r="K3" s="15" t="s">
        <v>572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3">
      <c r="A4" s="7" t="s">
        <v>488</v>
      </c>
      <c r="B4" s="7">
        <v>60</v>
      </c>
      <c r="C4" s="7" t="str">
        <f>VLOOKUP(Table_1[[#This Row],[Column2]],E:F,2,FALSE)</f>
        <v>Discreto</v>
      </c>
      <c r="D4" s="8" t="str">
        <f>_xlfn.XLOOKUP(Table_1[[#This Row],[Column2]],E:E,F:F,"VALORE NON TROVATO",0)</f>
        <v>Discreto</v>
      </c>
      <c r="E4" s="4">
        <v>40</v>
      </c>
      <c r="F4" s="15" t="s">
        <v>573</v>
      </c>
      <c r="G4" s="8"/>
      <c r="H4" s="8" t="str">
        <f>VLOOKUP(Table_1[[#This Row],[Column2]],J:K,2,FALSE)</f>
        <v>Discreto</v>
      </c>
      <c r="I4" s="8"/>
      <c r="J4" s="4">
        <v>40</v>
      </c>
      <c r="K4" s="15" t="s">
        <v>573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3">
      <c r="A5" s="7" t="s">
        <v>489</v>
      </c>
      <c r="B5" s="7">
        <v>40</v>
      </c>
      <c r="C5" s="7" t="str">
        <f>VLOOKUP(Table_1[[#This Row],[Column2]],E:F,2,FALSE)</f>
        <v>Sufficiente</v>
      </c>
      <c r="D5" s="8" t="str">
        <f>_xlfn.XLOOKUP(Table_1[[#This Row],[Column2]],E:E,F:F,"VALORE NON TROVATO",0)</f>
        <v>Sufficiente</v>
      </c>
      <c r="E5" s="4">
        <v>0</v>
      </c>
      <c r="F5" s="15" t="s">
        <v>574</v>
      </c>
      <c r="G5" s="8"/>
      <c r="H5" s="8" t="str">
        <f>VLOOKUP(Table_1[[#This Row],[Column2]],J:K,2,FALSE)</f>
        <v>Sufficiente</v>
      </c>
      <c r="I5" s="8"/>
      <c r="J5" s="4">
        <v>0</v>
      </c>
      <c r="K5" s="15" t="s">
        <v>574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3">
      <c r="A6" s="7" t="s">
        <v>490</v>
      </c>
      <c r="B6" s="7">
        <v>70</v>
      </c>
      <c r="C6" s="7" t="str">
        <f>VLOOKUP(Table_1[[#This Row],[Column2]],E:F,2,FALSE)</f>
        <v>Buono</v>
      </c>
      <c r="D6" s="8" t="str">
        <f>_xlfn.XLOOKUP(Table_1[[#This Row],[Column2]],E:E,F:F,"VALORE NON TROVATO",0)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3">
      <c r="A7" s="7" t="s">
        <v>491</v>
      </c>
      <c r="B7" s="7">
        <v>0</v>
      </c>
      <c r="C7" s="7" t="str">
        <f>VLOOKUP(Table_1[[#This Row],[Column2]],E:F,2,FALSE)</f>
        <v xml:space="preserve">Respinto </v>
      </c>
      <c r="D7" s="8" t="str">
        <f>_xlfn.XLOOKUP(Table_1[[#This Row],[Column2]],E:E,F:F,"VALORE NON TROVATO",0)</f>
        <v xml:space="preserve">Respinto 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3">
      <c r="A8" s="7" t="s">
        <v>492</v>
      </c>
      <c r="B8" s="7">
        <v>0</v>
      </c>
      <c r="C8" s="7" t="str">
        <f>VLOOKUP(Table_1[[#This Row],[Column2]],E:F,2,FALSE)</f>
        <v xml:space="preserve">Respinto </v>
      </c>
      <c r="D8" s="8" t="str">
        <f>_xlfn.XLOOKUP(Table_1[[#This Row],[Column2]],E:E,F:F,"VALORE NON TROVATO",0)</f>
        <v xml:space="preserve">Respinto 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3">
      <c r="A9" s="4"/>
      <c r="C9" s="7"/>
      <c r="D9" s="8">
        <f>_xlfn.XLOOKUP(Table_1[[#This Row],[Column2]],E:E,F:F,"VALORE NON TROVATO",0)</f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/>
      <c r="B13" s="4"/>
      <c r="C13" s="4"/>
      <c r="D13" s="4"/>
      <c r="E13" s="4"/>
      <c r="F13" s="4" t="s">
        <v>582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/>
      <c r="B14" s="4"/>
      <c r="C14" s="4"/>
      <c r="D14" s="4"/>
      <c r="E14" s="4"/>
      <c r="F14" s="4"/>
      <c r="G14" s="4" t="s">
        <v>579</v>
      </c>
      <c r="H14" s="4" t="s">
        <v>580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/>
      <c r="B15" s="4"/>
      <c r="C15" s="4"/>
      <c r="D15" s="4"/>
      <c r="E15" s="4"/>
      <c r="F15" s="4"/>
      <c r="G15" s="4" t="s">
        <v>578</v>
      </c>
      <c r="H15" s="4" t="s">
        <v>581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/>
      <c r="B17" s="4"/>
      <c r="C17" s="4"/>
      <c r="D17" s="4"/>
      <c r="E17" s="4"/>
      <c r="F17" s="4"/>
      <c r="G17" s="4" t="s">
        <v>570</v>
      </c>
      <c r="H17" s="4" t="s">
        <v>583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/>
      <c r="B18" s="4"/>
      <c r="C18" s="4"/>
      <c r="D18" s="4"/>
      <c r="E18" s="4"/>
      <c r="F18" s="4"/>
      <c r="G18" s="4" t="s">
        <v>584</v>
      </c>
      <c r="H18" s="4" t="s">
        <v>585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/>
      <c r="B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/>
      <c r="B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/>
      <c r="B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/>
      <c r="B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abSelected="1" zoomScale="94" workbookViewId="0">
      <selection activeCell="J16" sqref="J16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3.6640625" customWidth="1"/>
    <col min="7" max="7" width="21.33203125" customWidth="1"/>
    <col min="8" max="8" width="16.109375" customWidth="1"/>
    <col min="9" max="9" width="15.33203125" customWidth="1"/>
    <col min="10" max="10" width="21.33203125" customWidth="1"/>
    <col min="11" max="11" width="20.21875" customWidth="1"/>
    <col min="12" max="12" width="8.6640625" customWidth="1"/>
    <col min="13" max="13" width="28.33203125" customWidth="1"/>
    <col min="14" max="14" width="16.6640625" customWidth="1"/>
    <col min="15" max="22" width="8.6640625" customWidth="1"/>
  </cols>
  <sheetData>
    <row r="1" spans="1:22" ht="13.5" customHeight="1" thickBo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9" t="s">
        <v>495</v>
      </c>
      <c r="H1" s="19" t="s">
        <v>586</v>
      </c>
      <c r="I1" s="20" t="s">
        <v>587</v>
      </c>
      <c r="J1" s="22"/>
      <c r="K1" s="17"/>
      <c r="L1" s="11"/>
      <c r="M1" s="9"/>
      <c r="N1" s="11"/>
      <c r="O1" s="11"/>
      <c r="P1" s="11"/>
      <c r="Q1" s="11"/>
      <c r="R1" s="11"/>
      <c r="S1" s="11"/>
      <c r="T1" s="11"/>
      <c r="U1" s="11"/>
      <c r="V1" s="11"/>
    </row>
    <row r="2" spans="1:22" ht="13.5" customHeight="1" thickTop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3" t="s">
        <v>499</v>
      </c>
      <c r="H2">
        <f>COUNTIF(C:C,G2)</f>
        <v>11</v>
      </c>
      <c r="I2" s="25">
        <f>SUMIF(C:C,G2,D:D)</f>
        <v>611780</v>
      </c>
      <c r="J2" s="13"/>
      <c r="K2" s="18"/>
      <c r="M2" s="13"/>
      <c r="N2" s="18"/>
    </row>
    <row r="3" spans="1:22" ht="13.5" customHeight="1" x14ac:dyDescent="0.3">
      <c r="A3" s="12">
        <v>36534</v>
      </c>
      <c r="B3" s="13" t="s">
        <v>500</v>
      </c>
      <c r="C3" s="16" t="s">
        <v>499</v>
      </c>
      <c r="D3" s="14">
        <v>29970</v>
      </c>
      <c r="E3" s="14">
        <v>29</v>
      </c>
      <c r="G3" s="13" t="s">
        <v>547</v>
      </c>
      <c r="H3">
        <f>COUNTIF(C:C,G3)</f>
        <v>4</v>
      </c>
      <c r="I3" s="24">
        <f t="shared" ref="I3:I49" si="0">SUMIF(C:C,G3,D:D)</f>
        <v>6765600</v>
      </c>
      <c r="J3" s="13"/>
      <c r="K3" s="18"/>
      <c r="M3" s="13"/>
      <c r="N3" s="18"/>
    </row>
    <row r="4" spans="1:22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3" t="s">
        <v>558</v>
      </c>
      <c r="H4">
        <f>COUNTIF(C:C,G4)</f>
        <v>5</v>
      </c>
      <c r="I4" s="24">
        <f t="shared" si="0"/>
        <v>30860</v>
      </c>
      <c r="J4" s="13"/>
      <c r="K4" s="18"/>
      <c r="M4" s="13"/>
      <c r="N4" s="18"/>
    </row>
    <row r="5" spans="1:22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3" t="s">
        <v>506</v>
      </c>
      <c r="H5">
        <f t="shared" ref="H5" si="1">COUNTIF(C:C,G5)</f>
        <v>4</v>
      </c>
      <c r="I5" s="24">
        <f t="shared" si="0"/>
        <v>54000</v>
      </c>
      <c r="J5" s="13"/>
      <c r="K5" s="18"/>
      <c r="M5" s="13"/>
      <c r="N5" s="18"/>
    </row>
    <row r="6" spans="1:22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G6" s="13"/>
      <c r="J6" s="13"/>
      <c r="K6" s="18"/>
      <c r="M6" s="13"/>
      <c r="N6" s="18"/>
    </row>
    <row r="7" spans="1:22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J7" s="13"/>
      <c r="K7" s="18"/>
      <c r="M7" s="13"/>
      <c r="N7" s="18"/>
    </row>
    <row r="8" spans="1:22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J8" s="13"/>
      <c r="K8" s="18"/>
      <c r="M8" s="13"/>
      <c r="N8" s="18"/>
    </row>
    <row r="9" spans="1:22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21" t="s">
        <v>589</v>
      </c>
      <c r="H9" s="21" t="s">
        <v>586</v>
      </c>
      <c r="I9" s="21" t="s">
        <v>588</v>
      </c>
      <c r="J9" s="13"/>
      <c r="K9" s="18"/>
      <c r="M9" s="13"/>
      <c r="N9" s="18"/>
    </row>
    <row r="10" spans="1:22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3" t="s">
        <v>507</v>
      </c>
      <c r="H10">
        <f>COUNTIF(B:B,G10)</f>
        <v>1</v>
      </c>
      <c r="I10" s="23">
        <f>SUMIF(B:B,G10,D:D)</f>
        <v>50800</v>
      </c>
      <c r="J10" s="13"/>
      <c r="K10" s="18"/>
      <c r="M10" s="13"/>
      <c r="N10" s="18"/>
    </row>
    <row r="11" spans="1:22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s="13" t="s">
        <v>501</v>
      </c>
      <c r="H11">
        <f>COUNTIF(B:B,G11)</f>
        <v>2</v>
      </c>
      <c r="I11" s="23">
        <f t="shared" ref="I11:I16" si="2">SUMIF(B:B,G11,D:D)</f>
        <v>73450</v>
      </c>
      <c r="J11" s="13"/>
      <c r="K11" s="18"/>
      <c r="M11" s="13"/>
      <c r="N11" s="18"/>
    </row>
    <row r="12" spans="1:22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s="13" t="s">
        <v>509</v>
      </c>
      <c r="H12">
        <f>COUNTIF(B:B,G12)</f>
        <v>1</v>
      </c>
      <c r="I12" s="23">
        <f t="shared" si="2"/>
        <v>98450</v>
      </c>
      <c r="J12" s="13"/>
      <c r="K12" s="18"/>
      <c r="M12" s="13"/>
      <c r="N12" s="18"/>
    </row>
    <row r="13" spans="1:22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13" t="s">
        <v>511</v>
      </c>
      <c r="H13">
        <f>COUNTIF(B:B,G13)</f>
        <v>1</v>
      </c>
      <c r="I13" s="23">
        <f t="shared" si="2"/>
        <v>7950</v>
      </c>
      <c r="J13" s="13"/>
      <c r="K13" s="18"/>
      <c r="M13" s="13"/>
      <c r="N13" s="18"/>
    </row>
    <row r="14" spans="1:22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13" t="s">
        <v>525</v>
      </c>
      <c r="H14">
        <f>COUNTIF(B:B,G14)</f>
        <v>4</v>
      </c>
      <c r="I14" s="23">
        <f t="shared" si="2"/>
        <v>283000</v>
      </c>
      <c r="J14" s="13"/>
      <c r="K14" s="18"/>
      <c r="M14" s="13"/>
      <c r="N14" s="18"/>
    </row>
    <row r="15" spans="1:22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s="13" t="s">
        <v>528</v>
      </c>
      <c r="H15">
        <f>COUNTIF(B:B,G15)</f>
        <v>2</v>
      </c>
      <c r="I15" s="23">
        <f t="shared" si="2"/>
        <v>107700</v>
      </c>
      <c r="J15" s="13"/>
      <c r="K15" s="18"/>
      <c r="M15" s="13"/>
      <c r="N15" s="18"/>
    </row>
    <row r="16" spans="1:22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G16" s="13" t="s">
        <v>529</v>
      </c>
      <c r="H16">
        <f>COUNTIF(B:B,G16)</f>
        <v>1</v>
      </c>
      <c r="I16" s="23">
        <f t="shared" si="2"/>
        <v>27270</v>
      </c>
      <c r="J16" s="13"/>
      <c r="K16" s="18"/>
      <c r="M16" s="13"/>
      <c r="N16" s="18"/>
    </row>
    <row r="17" spans="1:14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G17" s="13"/>
      <c r="J17" s="13"/>
      <c r="K17" s="18"/>
      <c r="M17" s="13"/>
      <c r="N17" s="18"/>
    </row>
    <row r="18" spans="1:14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G18" s="13"/>
      <c r="J18" s="13"/>
      <c r="K18" s="18"/>
      <c r="M18" s="13"/>
      <c r="N18" s="18"/>
    </row>
    <row r="19" spans="1:14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s="13"/>
      <c r="J19" s="13"/>
      <c r="K19" s="18"/>
      <c r="M19" s="13"/>
      <c r="N19" s="18"/>
    </row>
    <row r="20" spans="1:14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J20" s="13"/>
      <c r="K20" s="18"/>
      <c r="M20" s="13"/>
      <c r="N20" s="18"/>
    </row>
    <row r="21" spans="1:14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G21" s="13"/>
      <c r="J21" s="13"/>
      <c r="K21" s="18"/>
      <c r="M21" s="13"/>
      <c r="N21" s="18"/>
    </row>
    <row r="22" spans="1:14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G22" s="13"/>
      <c r="J22" s="13"/>
      <c r="K22" s="18"/>
      <c r="M22" s="13"/>
      <c r="N22" s="18"/>
    </row>
    <row r="23" spans="1:14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J23" s="13"/>
      <c r="K23" s="18"/>
      <c r="M23" s="13"/>
      <c r="N23" s="18"/>
    </row>
    <row r="24" spans="1:14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G24" s="13"/>
      <c r="J24" s="13"/>
      <c r="K24" s="18"/>
      <c r="M24" s="13"/>
      <c r="N24" s="18"/>
    </row>
    <row r="25" spans="1:14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K25" s="18"/>
      <c r="M25" s="13"/>
      <c r="N25" s="18"/>
    </row>
    <row r="26" spans="1:14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K26" s="18"/>
      <c r="M26" s="13"/>
      <c r="N26" s="18"/>
    </row>
    <row r="27" spans="1:14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K27" s="18"/>
      <c r="M27" s="13"/>
      <c r="N27" s="18"/>
    </row>
    <row r="28" spans="1:14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K28" s="18"/>
      <c r="M28" s="13"/>
      <c r="N28" s="18"/>
    </row>
    <row r="29" spans="1:14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K29" s="18"/>
      <c r="M29" s="13"/>
      <c r="N29" s="18"/>
    </row>
    <row r="30" spans="1:14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K30" s="18"/>
      <c r="M30" s="13"/>
      <c r="N30" s="18"/>
    </row>
    <row r="31" spans="1:14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K31" s="18"/>
      <c r="M31" s="13"/>
      <c r="N31" s="18"/>
    </row>
    <row r="32" spans="1:14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K32" s="18"/>
      <c r="M32" s="13"/>
      <c r="N32" s="18"/>
    </row>
    <row r="33" spans="1:14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K33" s="18"/>
      <c r="M33" s="13"/>
      <c r="N33" s="18"/>
    </row>
    <row r="34" spans="1:14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K34" s="18"/>
      <c r="M34" s="13"/>
      <c r="N34" s="18"/>
    </row>
    <row r="35" spans="1:14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K35" s="18"/>
      <c r="M35" s="13"/>
      <c r="N35" s="18"/>
    </row>
    <row r="36" spans="1:14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K36" s="18"/>
      <c r="M36" s="13"/>
      <c r="N36" s="18"/>
    </row>
    <row r="37" spans="1:14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K37" s="18"/>
      <c r="M37" s="13"/>
      <c r="N37" s="18"/>
    </row>
    <row r="38" spans="1:14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K38" s="18"/>
      <c r="M38" s="13"/>
      <c r="N38" s="18"/>
    </row>
    <row r="39" spans="1:14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K39" s="18"/>
      <c r="M39" s="13"/>
      <c r="N39" s="18"/>
    </row>
    <row r="40" spans="1:14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K40" s="18"/>
      <c r="M40" s="13"/>
      <c r="N40" s="18"/>
    </row>
    <row r="41" spans="1:14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K41" s="18"/>
      <c r="M41" s="13"/>
      <c r="N41" s="18"/>
    </row>
    <row r="42" spans="1:14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K42" s="18"/>
      <c r="M42" s="13"/>
      <c r="N42" s="18"/>
    </row>
    <row r="43" spans="1:14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K43" s="18"/>
      <c r="M43" s="13"/>
      <c r="N43" s="18"/>
    </row>
    <row r="44" spans="1:14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K44" s="18"/>
      <c r="M44" s="13"/>
      <c r="N44" s="18"/>
    </row>
    <row r="45" spans="1:14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K45" s="18"/>
      <c r="M45" s="13"/>
      <c r="N45" s="18"/>
    </row>
    <row r="46" spans="1:14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K46" s="18"/>
      <c r="M46" s="13"/>
      <c r="N46" s="18"/>
    </row>
    <row r="47" spans="1:14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K47" s="18"/>
      <c r="M47" s="13"/>
      <c r="N47" s="18"/>
    </row>
    <row r="48" spans="1:14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K48" s="18"/>
      <c r="M48" s="13"/>
      <c r="N48" s="18"/>
    </row>
    <row r="49" spans="1:14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K49" s="18"/>
      <c r="M49" s="13"/>
      <c r="N49" s="18"/>
    </row>
    <row r="50" spans="1:14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14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14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14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14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14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14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14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14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14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14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14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14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14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14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autoFilter ref="A1:E80" xr:uid="{00000000-0001-0000-0200-000000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Angelina Nuzzo</cp:lastModifiedBy>
  <dcterms:created xsi:type="dcterms:W3CDTF">2005-04-12T12:35:30Z</dcterms:created>
  <dcterms:modified xsi:type="dcterms:W3CDTF">2026-01-11T14:31:07Z</dcterms:modified>
</cp:coreProperties>
</file>