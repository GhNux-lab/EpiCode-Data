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ownloads\"/>
    </mc:Choice>
  </mc:AlternateContent>
  <xr:revisionPtr revIDLastSave="0" documentId="13_ncr:1_{2CDB19F6-0486-4D05-A05D-632EBB74781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I3" i="2"/>
  <c r="I4" i="2"/>
  <c r="I5" i="2"/>
  <c r="I6" i="2"/>
  <c r="I2" i="2"/>
  <c r="G3" i="2"/>
  <c r="G4" i="2"/>
  <c r="G5" i="2"/>
  <c r="G6" i="2"/>
  <c r="F16" i="2"/>
  <c r="G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D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D100" i="1" s="1"/>
  <c r="B101" i="1"/>
  <c r="D101" i="1" s="1"/>
  <c r="B2" i="1"/>
  <c r="D2" i="1" s="1"/>
</calcChain>
</file>

<file path=xl/sharedStrings.xml><?xml version="1.0" encoding="utf-8"?>
<sst xmlns="http://schemas.openxmlformats.org/spreadsheetml/2006/main" count="168" uniqueCount="120">
  <si>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</si>
  <si>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</si>
  <si>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</si>
  <si>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</si>
  <si>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</si>
  <si>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</si>
  <si>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</si>
  <si>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</si>
  <si>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</si>
  <si>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</si>
  <si>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</si>
  <si>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</si>
  <si>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</si>
  <si>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</si>
  <si>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</si>
  <si>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</si>
  <si>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</si>
  <si>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</si>
  <si>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</si>
  <si>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</si>
  <si>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</si>
  <si>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</si>
  <si>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</si>
  <si>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</si>
  <si>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</si>
  <si>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</si>
  <si>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</si>
  <si>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</si>
  <si>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</si>
  <si>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</si>
  <si>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</si>
  <si>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</si>
  <si>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</si>
  <si>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</si>
  <si>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</si>
  <si>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</si>
  <si>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</si>
  <si>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</si>
  <si>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</si>
  <si>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</si>
  <si>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</si>
  <si>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</si>
  <si>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</si>
  <si>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</si>
  <si>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</si>
  <si>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</si>
  <si>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</si>
  <si>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</si>
  <si>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</si>
  <si>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</si>
  <si>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</si>
  <si>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</si>
  <si>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</si>
  <si>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</si>
  <si>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</si>
  <si>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</si>
  <si>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</si>
  <si>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</si>
  <si>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</si>
  <si>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</si>
  <si>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</si>
  <si>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</si>
  <si>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</si>
  <si>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</si>
  <si>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</si>
  <si>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</si>
  <si>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</si>
  <si>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</si>
  <si>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</si>
  <si>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</si>
  <si>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</si>
  <si>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</si>
  <si>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</si>
  <si>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</si>
  <si>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</si>
  <si>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</si>
  <si>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</si>
  <si>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</si>
  <si>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</si>
  <si>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</si>
  <si>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</si>
  <si>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</si>
  <si>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</si>
  <si>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</si>
  <si>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</si>
  <si>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</si>
  <si>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</si>
  <si>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</si>
  <si>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</si>
  <si>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</si>
  <si>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</si>
  <si>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</si>
  <si>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</si>
  <si>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</si>
  <si>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</si>
  <si>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</si>
  <si>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</si>
  <si>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</si>
  <si>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</si>
  <si>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</si>
  <si>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</si>
  <si>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</si>
  <si>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</si>
  <si>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</si>
  <si>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</si>
  <si>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</si>
  <si>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</si>
  <si>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</si>
  <si>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</si>
  <si>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</si>
  <si>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TARIFFA</t>
  </si>
  <si>
    <t>ORA</t>
  </si>
  <si>
    <t>INIZIO TARGA</t>
  </si>
  <si>
    <t>CATEGORIA</t>
  </si>
  <si>
    <t>MEZZORE</t>
  </si>
  <si>
    <t>SOGGETTO</t>
  </si>
  <si>
    <t>CONTO</t>
  </si>
  <si>
    <t>Conto di ogni frutto</t>
  </si>
  <si>
    <t>Peso sopra 80g</t>
  </si>
  <si>
    <t>Somma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</si>
</sst>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6" formatCode="[$-F400]h:mm:ss\ AM/PM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"/>
  <sheetViews>
    <sheetView workbookViewId="0">
      <selection activeCell="G7" sqref="G7"/>
    </sheetView>
  </sheetViews>
  <sheetFormatPr defaultColWidth="12.6640625" defaultRowHeight="15.75" customHeight="1" x14ac:dyDescent="0.25"/>
  <cols>
    <col min="2" max="2" width="12.6640625" style="6"/>
    <col min="3" max="3" width="25.33203125" style="9" customWidth="1"/>
    <col min="4" max="5" width="20.109375" customWidth="1"/>
    <col min="6" max="6" width="22.77734375" customWidth="1"/>
  </cols>
  <sheetData>
    <row r="1" spans="1:28" x14ac:dyDescent="0.25">
      <c r="A1" s="1" t="s">
        <v>0</v>
      </c>
      <c r="B1" s="11" t="s">
        <v>112</v>
      </c>
      <c r="C1" s="7" t="s">
        <v>1</v>
      </c>
      <c r="D1" s="1" t="s">
        <v>2</v>
      </c>
      <c r="E1" s="10" t="s">
        <v>114</v>
      </c>
      <c r="F1" s="1" t="s">
        <v>3</v>
      </c>
      <c r="G1" s="1"/>
      <c r="H1" s="10" t="s">
        <v>113</v>
      </c>
      <c r="I1" s="1" t="s">
        <v>110</v>
      </c>
      <c r="J1" s="1" t="s">
        <v>111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4</v>
      </c>
      <c r="B2" s="12" t="str">
        <f>LEFT(A2)</f>
        <v>A</v>
      </c>
      <c r="C2" s="8">
        <v>1.5</v>
      </c>
      <c r="D2">
        <f>IF(B2&lt;="F",0,IF(B2&lt;="M",1,2))</f>
        <v>0</v>
      </c>
      <c r="E2">
        <f>C2/0.5</f>
        <v>3</v>
      </c>
      <c r="F2" s="3">
        <f>IF(D2=0,E2*$I$2,IF(D2=1,E2*$I$3,E2))</f>
        <v>6</v>
      </c>
      <c r="H2">
        <v>0</v>
      </c>
      <c r="I2" s="4">
        <v>2</v>
      </c>
      <c r="J2" s="5">
        <v>2.0833333333333332E-2</v>
      </c>
    </row>
    <row r="3" spans="1:28" x14ac:dyDescent="0.25">
      <c r="A3" s="2" t="s">
        <v>5</v>
      </c>
      <c r="B3" s="12" t="str">
        <f t="shared" ref="B3:B66" si="0">LEFT(A3)</f>
        <v>L</v>
      </c>
      <c r="C3" s="8">
        <v>2.5</v>
      </c>
      <c r="D3">
        <f t="shared" ref="D3:D66" si="1">IF(B3&lt;="F",0,IF(B3&lt;="M",1,2))</f>
        <v>1</v>
      </c>
      <c r="E3">
        <f t="shared" ref="E3:E66" si="2">C3/0.5</f>
        <v>5</v>
      </c>
      <c r="F3" s="3">
        <f t="shared" ref="F3:F66" si="3">IF(D3=0,E3*$I$2,IF(D3=1,E3*$I$3,E3))</f>
        <v>7.5</v>
      </c>
      <c r="H3">
        <v>1</v>
      </c>
      <c r="I3" s="4">
        <v>1.5</v>
      </c>
      <c r="J3" s="5">
        <v>2.0833333333333332E-2</v>
      </c>
    </row>
    <row r="4" spans="1:28" x14ac:dyDescent="0.25">
      <c r="A4" s="2" t="s">
        <v>6</v>
      </c>
      <c r="B4" s="12" t="str">
        <f t="shared" si="0"/>
        <v>P</v>
      </c>
      <c r="C4" s="8">
        <v>3.5</v>
      </c>
      <c r="D4">
        <f t="shared" si="1"/>
        <v>2</v>
      </c>
      <c r="E4">
        <f t="shared" si="2"/>
        <v>7</v>
      </c>
      <c r="F4" s="3">
        <f t="shared" si="3"/>
        <v>7</v>
      </c>
      <c r="H4">
        <v>2</v>
      </c>
      <c r="I4" s="4">
        <v>2</v>
      </c>
      <c r="J4" s="5">
        <v>4.1666666666666664E-2</v>
      </c>
    </row>
    <row r="5" spans="1:28" x14ac:dyDescent="0.25">
      <c r="A5" s="2" t="s">
        <v>7</v>
      </c>
      <c r="B5" s="12" t="str">
        <f t="shared" si="0"/>
        <v>U</v>
      </c>
      <c r="C5" s="8">
        <v>4.5</v>
      </c>
      <c r="D5">
        <f t="shared" si="1"/>
        <v>2</v>
      </c>
      <c r="E5">
        <f t="shared" si="2"/>
        <v>9</v>
      </c>
      <c r="F5" s="3">
        <f t="shared" si="3"/>
        <v>9</v>
      </c>
    </row>
    <row r="6" spans="1:28" x14ac:dyDescent="0.25">
      <c r="A6" s="2" t="s">
        <v>8</v>
      </c>
      <c r="B6" s="12" t="str">
        <f t="shared" si="0"/>
        <v>W</v>
      </c>
      <c r="C6" s="8">
        <v>5.5</v>
      </c>
      <c r="D6">
        <f t="shared" si="1"/>
        <v>2</v>
      </c>
      <c r="E6">
        <f t="shared" si="2"/>
        <v>11</v>
      </c>
      <c r="F6" s="3">
        <f t="shared" si="3"/>
        <v>11</v>
      </c>
    </row>
    <row r="7" spans="1:28" x14ac:dyDescent="0.25">
      <c r="A7" s="2" t="s">
        <v>9</v>
      </c>
      <c r="B7" s="12" t="str">
        <f t="shared" si="0"/>
        <v>Y</v>
      </c>
      <c r="C7" s="8">
        <v>6.5</v>
      </c>
      <c r="D7">
        <f t="shared" si="1"/>
        <v>2</v>
      </c>
      <c r="E7">
        <f t="shared" si="2"/>
        <v>13</v>
      </c>
      <c r="F7" s="3">
        <f t="shared" si="3"/>
        <v>13</v>
      </c>
    </row>
    <row r="8" spans="1:28" x14ac:dyDescent="0.25">
      <c r="A8" s="2" t="s">
        <v>10</v>
      </c>
      <c r="B8" s="12" t="str">
        <f t="shared" si="0"/>
        <v>A</v>
      </c>
      <c r="C8" s="8">
        <v>7.5</v>
      </c>
      <c r="D8">
        <f t="shared" si="1"/>
        <v>0</v>
      </c>
      <c r="E8">
        <f t="shared" si="2"/>
        <v>15</v>
      </c>
      <c r="F8" s="3">
        <f t="shared" si="3"/>
        <v>30</v>
      </c>
    </row>
    <row r="9" spans="1:28" x14ac:dyDescent="0.25">
      <c r="A9" s="2" t="s">
        <v>11</v>
      </c>
      <c r="B9" s="12" t="str">
        <f t="shared" si="0"/>
        <v>C</v>
      </c>
      <c r="C9" s="8">
        <v>8.5</v>
      </c>
      <c r="D9">
        <f t="shared" si="1"/>
        <v>0</v>
      </c>
      <c r="E9">
        <f t="shared" si="2"/>
        <v>17</v>
      </c>
      <c r="F9" s="3">
        <f t="shared" si="3"/>
        <v>34</v>
      </c>
    </row>
    <row r="10" spans="1:28" x14ac:dyDescent="0.25">
      <c r="A10" s="2" t="s">
        <v>12</v>
      </c>
      <c r="B10" s="12" t="str">
        <f t="shared" si="0"/>
        <v>E</v>
      </c>
      <c r="C10" s="8">
        <v>9.5</v>
      </c>
      <c r="D10">
        <f t="shared" si="1"/>
        <v>0</v>
      </c>
      <c r="E10">
        <f t="shared" si="2"/>
        <v>19</v>
      </c>
      <c r="F10" s="3">
        <f t="shared" si="3"/>
        <v>38</v>
      </c>
    </row>
    <row r="11" spans="1:28" x14ac:dyDescent="0.25">
      <c r="A11" s="2" t="s">
        <v>13</v>
      </c>
      <c r="B11" s="12" t="str">
        <f t="shared" si="0"/>
        <v>G</v>
      </c>
      <c r="C11" s="8">
        <v>10</v>
      </c>
      <c r="D11">
        <f t="shared" si="1"/>
        <v>1</v>
      </c>
      <c r="E11">
        <f t="shared" si="2"/>
        <v>20</v>
      </c>
      <c r="F11" s="3">
        <f t="shared" si="3"/>
        <v>30</v>
      </c>
    </row>
    <row r="12" spans="1:28" x14ac:dyDescent="0.25">
      <c r="A12" s="2" t="s">
        <v>14</v>
      </c>
      <c r="B12" s="12" t="str">
        <f t="shared" si="0"/>
        <v>I</v>
      </c>
      <c r="C12" s="8">
        <v>0.5</v>
      </c>
      <c r="D12">
        <f t="shared" si="1"/>
        <v>1</v>
      </c>
      <c r="E12">
        <f t="shared" si="2"/>
        <v>1</v>
      </c>
      <c r="F12" s="3">
        <f t="shared" si="3"/>
        <v>1.5</v>
      </c>
    </row>
    <row r="13" spans="1:28" x14ac:dyDescent="0.25">
      <c r="A13" s="2" t="s">
        <v>15</v>
      </c>
      <c r="B13" s="12" t="str">
        <f t="shared" si="0"/>
        <v>K</v>
      </c>
      <c r="C13" s="8">
        <v>1</v>
      </c>
      <c r="D13">
        <f t="shared" si="1"/>
        <v>1</v>
      </c>
      <c r="E13">
        <f t="shared" si="2"/>
        <v>2</v>
      </c>
      <c r="F13" s="3">
        <f t="shared" si="3"/>
        <v>3</v>
      </c>
    </row>
    <row r="14" spans="1:28" x14ac:dyDescent="0.25">
      <c r="A14" s="2" t="s">
        <v>16</v>
      </c>
      <c r="B14" s="12" t="str">
        <f t="shared" si="0"/>
        <v>M</v>
      </c>
      <c r="C14" s="8">
        <v>2</v>
      </c>
      <c r="D14">
        <f t="shared" si="1"/>
        <v>1</v>
      </c>
      <c r="E14">
        <f t="shared" si="2"/>
        <v>4</v>
      </c>
      <c r="F14" s="3">
        <f t="shared" si="3"/>
        <v>6</v>
      </c>
    </row>
    <row r="15" spans="1:28" x14ac:dyDescent="0.25">
      <c r="A15" s="2" t="s">
        <v>17</v>
      </c>
      <c r="B15" s="12" t="str">
        <f t="shared" si="0"/>
        <v>O</v>
      </c>
      <c r="C15" s="8">
        <v>3</v>
      </c>
      <c r="D15">
        <f t="shared" si="1"/>
        <v>2</v>
      </c>
      <c r="E15">
        <f t="shared" si="2"/>
        <v>6</v>
      </c>
      <c r="F15" s="3">
        <f t="shared" si="3"/>
        <v>6</v>
      </c>
    </row>
    <row r="16" spans="1:28" x14ac:dyDescent="0.25">
      <c r="A16" s="2" t="s">
        <v>18</v>
      </c>
      <c r="B16" s="12" t="str">
        <f t="shared" si="0"/>
        <v>Q</v>
      </c>
      <c r="C16" s="8">
        <v>4</v>
      </c>
      <c r="D16">
        <f t="shared" si="1"/>
        <v>2</v>
      </c>
      <c r="E16">
        <f t="shared" si="2"/>
        <v>8</v>
      </c>
      <c r="F16" s="3">
        <f t="shared" si="3"/>
        <v>8</v>
      </c>
    </row>
    <row r="17" spans="1:6" x14ac:dyDescent="0.25">
      <c r="A17" s="2" t="s">
        <v>19</v>
      </c>
      <c r="B17" s="12" t="str">
        <f t="shared" si="0"/>
        <v>S</v>
      </c>
      <c r="C17" s="8">
        <v>5</v>
      </c>
      <c r="D17">
        <f t="shared" si="1"/>
        <v>2</v>
      </c>
      <c r="E17">
        <f t="shared" si="2"/>
        <v>10</v>
      </c>
      <c r="F17" s="3">
        <f t="shared" si="3"/>
        <v>10</v>
      </c>
    </row>
    <row r="18" spans="1:6" x14ac:dyDescent="0.25">
      <c r="A18" s="2" t="s">
        <v>20</v>
      </c>
      <c r="B18" s="12" t="str">
        <f t="shared" si="0"/>
        <v>U</v>
      </c>
      <c r="C18" s="8">
        <v>6</v>
      </c>
      <c r="D18">
        <f t="shared" si="1"/>
        <v>2</v>
      </c>
      <c r="E18">
        <f t="shared" si="2"/>
        <v>12</v>
      </c>
      <c r="F18" s="3">
        <f t="shared" si="3"/>
        <v>12</v>
      </c>
    </row>
    <row r="19" spans="1:6" x14ac:dyDescent="0.25">
      <c r="A19" s="2" t="s">
        <v>21</v>
      </c>
      <c r="B19" s="12" t="str">
        <f t="shared" si="0"/>
        <v>W</v>
      </c>
      <c r="C19" s="8">
        <v>7</v>
      </c>
      <c r="D19">
        <f t="shared" si="1"/>
        <v>2</v>
      </c>
      <c r="E19">
        <f t="shared" si="2"/>
        <v>14</v>
      </c>
      <c r="F19" s="3">
        <f t="shared" si="3"/>
        <v>14</v>
      </c>
    </row>
    <row r="20" spans="1:6" x14ac:dyDescent="0.25">
      <c r="A20" s="2" t="s">
        <v>22</v>
      </c>
      <c r="B20" s="12" t="str">
        <f t="shared" si="0"/>
        <v>Y</v>
      </c>
      <c r="C20" s="8">
        <v>8</v>
      </c>
      <c r="D20">
        <f t="shared" si="1"/>
        <v>2</v>
      </c>
      <c r="E20">
        <f t="shared" si="2"/>
        <v>16</v>
      </c>
      <c r="F20" s="3">
        <f t="shared" si="3"/>
        <v>16</v>
      </c>
    </row>
    <row r="21" spans="1:6" x14ac:dyDescent="0.25">
      <c r="A21" s="2" t="s">
        <v>23</v>
      </c>
      <c r="B21" s="12" t="str">
        <f t="shared" si="0"/>
        <v>A</v>
      </c>
      <c r="C21" s="8">
        <v>9</v>
      </c>
      <c r="D21">
        <f t="shared" si="1"/>
        <v>0</v>
      </c>
      <c r="E21">
        <f t="shared" si="2"/>
        <v>18</v>
      </c>
      <c r="F21" s="3">
        <f t="shared" si="3"/>
        <v>36</v>
      </c>
    </row>
    <row r="22" spans="1:6" x14ac:dyDescent="0.25">
      <c r="A22" s="2" t="s">
        <v>24</v>
      </c>
      <c r="B22" s="12" t="str">
        <f t="shared" si="0"/>
        <v>C</v>
      </c>
      <c r="C22" s="8">
        <v>10</v>
      </c>
      <c r="D22">
        <f t="shared" si="1"/>
        <v>0</v>
      </c>
      <c r="E22">
        <f t="shared" si="2"/>
        <v>20</v>
      </c>
      <c r="F22" s="3">
        <f t="shared" si="3"/>
        <v>40</v>
      </c>
    </row>
    <row r="23" spans="1:6" x14ac:dyDescent="0.25">
      <c r="A23" s="2" t="s">
        <v>25</v>
      </c>
      <c r="B23" s="12" t="str">
        <f t="shared" si="0"/>
        <v>E</v>
      </c>
      <c r="C23" s="8">
        <v>0.5</v>
      </c>
      <c r="D23">
        <f t="shared" si="1"/>
        <v>0</v>
      </c>
      <c r="E23">
        <f t="shared" si="2"/>
        <v>1</v>
      </c>
      <c r="F23" s="3">
        <f t="shared" si="3"/>
        <v>2</v>
      </c>
    </row>
    <row r="24" spans="1:6" x14ac:dyDescent="0.25">
      <c r="A24" s="2" t="s">
        <v>26</v>
      </c>
      <c r="B24" s="12" t="str">
        <f t="shared" si="0"/>
        <v>G</v>
      </c>
      <c r="C24" s="8">
        <v>1</v>
      </c>
      <c r="D24">
        <f t="shared" si="1"/>
        <v>1</v>
      </c>
      <c r="E24">
        <f t="shared" si="2"/>
        <v>2</v>
      </c>
      <c r="F24" s="3">
        <f t="shared" si="3"/>
        <v>3</v>
      </c>
    </row>
    <row r="25" spans="1:6" x14ac:dyDescent="0.25">
      <c r="A25" s="2" t="s">
        <v>27</v>
      </c>
      <c r="B25" s="12" t="str">
        <f t="shared" si="0"/>
        <v>I</v>
      </c>
      <c r="C25" s="8">
        <v>2</v>
      </c>
      <c r="D25">
        <f t="shared" si="1"/>
        <v>1</v>
      </c>
      <c r="E25">
        <f t="shared" si="2"/>
        <v>4</v>
      </c>
      <c r="F25" s="3">
        <f t="shared" si="3"/>
        <v>6</v>
      </c>
    </row>
    <row r="26" spans="1:6" x14ac:dyDescent="0.25">
      <c r="A26" s="2" t="s">
        <v>28</v>
      </c>
      <c r="B26" s="12" t="str">
        <f t="shared" si="0"/>
        <v>K</v>
      </c>
      <c r="C26" s="8">
        <v>3</v>
      </c>
      <c r="D26">
        <f t="shared" si="1"/>
        <v>1</v>
      </c>
      <c r="E26">
        <f t="shared" si="2"/>
        <v>6</v>
      </c>
      <c r="F26" s="3">
        <f t="shared" si="3"/>
        <v>9</v>
      </c>
    </row>
    <row r="27" spans="1:6" x14ac:dyDescent="0.25">
      <c r="A27" s="2" t="s">
        <v>29</v>
      </c>
      <c r="B27" s="12" t="str">
        <f t="shared" si="0"/>
        <v>M</v>
      </c>
      <c r="C27" s="8">
        <v>4</v>
      </c>
      <c r="D27">
        <f t="shared" si="1"/>
        <v>1</v>
      </c>
      <c r="E27">
        <f t="shared" si="2"/>
        <v>8</v>
      </c>
      <c r="F27" s="3">
        <f t="shared" si="3"/>
        <v>12</v>
      </c>
    </row>
    <row r="28" spans="1:6" x14ac:dyDescent="0.25">
      <c r="A28" s="2" t="s">
        <v>30</v>
      </c>
      <c r="B28" s="12" t="str">
        <f t="shared" si="0"/>
        <v>O</v>
      </c>
      <c r="C28" s="8">
        <v>5</v>
      </c>
      <c r="D28">
        <f t="shared" si="1"/>
        <v>2</v>
      </c>
      <c r="E28">
        <f t="shared" si="2"/>
        <v>10</v>
      </c>
      <c r="F28" s="3">
        <f t="shared" si="3"/>
        <v>10</v>
      </c>
    </row>
    <row r="29" spans="1:6" x14ac:dyDescent="0.25">
      <c r="A29" s="2" t="s">
        <v>31</v>
      </c>
      <c r="B29" s="12" t="str">
        <f t="shared" si="0"/>
        <v>Q</v>
      </c>
      <c r="C29" s="8">
        <v>6</v>
      </c>
      <c r="D29">
        <f t="shared" si="1"/>
        <v>2</v>
      </c>
      <c r="E29">
        <f t="shared" si="2"/>
        <v>12</v>
      </c>
      <c r="F29" s="3">
        <f t="shared" si="3"/>
        <v>12</v>
      </c>
    </row>
    <row r="30" spans="1:6" x14ac:dyDescent="0.25">
      <c r="A30" s="2" t="s">
        <v>32</v>
      </c>
      <c r="B30" s="12" t="str">
        <f t="shared" si="0"/>
        <v>S</v>
      </c>
      <c r="C30" s="8">
        <v>7</v>
      </c>
      <c r="D30">
        <f t="shared" si="1"/>
        <v>2</v>
      </c>
      <c r="E30">
        <f t="shared" si="2"/>
        <v>14</v>
      </c>
      <c r="F30" s="3">
        <f t="shared" si="3"/>
        <v>14</v>
      </c>
    </row>
    <row r="31" spans="1:6" x14ac:dyDescent="0.25">
      <c r="A31" s="2" t="s">
        <v>33</v>
      </c>
      <c r="B31" s="12" t="str">
        <f t="shared" si="0"/>
        <v>U</v>
      </c>
      <c r="C31" s="8">
        <v>8</v>
      </c>
      <c r="D31">
        <f t="shared" si="1"/>
        <v>2</v>
      </c>
      <c r="E31">
        <f t="shared" si="2"/>
        <v>16</v>
      </c>
      <c r="F31" s="3">
        <f t="shared" si="3"/>
        <v>16</v>
      </c>
    </row>
    <row r="32" spans="1:6" x14ac:dyDescent="0.25">
      <c r="A32" s="2" t="s">
        <v>34</v>
      </c>
      <c r="B32" s="12" t="str">
        <f t="shared" si="0"/>
        <v>W</v>
      </c>
      <c r="C32" s="8">
        <v>9</v>
      </c>
      <c r="D32">
        <f t="shared" si="1"/>
        <v>2</v>
      </c>
      <c r="E32">
        <f t="shared" si="2"/>
        <v>18</v>
      </c>
      <c r="F32" s="3">
        <f t="shared" si="3"/>
        <v>18</v>
      </c>
    </row>
    <row r="33" spans="1:6" x14ac:dyDescent="0.25">
      <c r="A33" s="2" t="s">
        <v>35</v>
      </c>
      <c r="B33" s="12" t="str">
        <f t="shared" si="0"/>
        <v>Y</v>
      </c>
      <c r="C33" s="8">
        <v>10</v>
      </c>
      <c r="D33">
        <f t="shared" si="1"/>
        <v>2</v>
      </c>
      <c r="E33">
        <f t="shared" si="2"/>
        <v>20</v>
      </c>
      <c r="F33" s="3">
        <f t="shared" si="3"/>
        <v>20</v>
      </c>
    </row>
    <row r="34" spans="1:6" x14ac:dyDescent="0.25">
      <c r="A34" s="2" t="s">
        <v>36</v>
      </c>
      <c r="B34" s="12" t="str">
        <f t="shared" si="0"/>
        <v>A</v>
      </c>
      <c r="C34" s="8">
        <v>0.5</v>
      </c>
      <c r="D34">
        <f t="shared" si="1"/>
        <v>0</v>
      </c>
      <c r="E34">
        <f t="shared" si="2"/>
        <v>1</v>
      </c>
      <c r="F34" s="3">
        <f t="shared" si="3"/>
        <v>2</v>
      </c>
    </row>
    <row r="35" spans="1:6" x14ac:dyDescent="0.25">
      <c r="A35" s="2" t="s">
        <v>37</v>
      </c>
      <c r="B35" s="12" t="str">
        <f t="shared" si="0"/>
        <v>C</v>
      </c>
      <c r="C35" s="8">
        <v>1</v>
      </c>
      <c r="D35">
        <f t="shared" si="1"/>
        <v>0</v>
      </c>
      <c r="E35">
        <f t="shared" si="2"/>
        <v>2</v>
      </c>
      <c r="F35" s="3">
        <f t="shared" si="3"/>
        <v>4</v>
      </c>
    </row>
    <row r="36" spans="1:6" x14ac:dyDescent="0.25">
      <c r="A36" s="2" t="s">
        <v>38</v>
      </c>
      <c r="B36" s="12" t="str">
        <f t="shared" si="0"/>
        <v>E</v>
      </c>
      <c r="C36" s="8">
        <v>2</v>
      </c>
      <c r="D36">
        <f t="shared" si="1"/>
        <v>0</v>
      </c>
      <c r="E36">
        <f t="shared" si="2"/>
        <v>4</v>
      </c>
      <c r="F36" s="3">
        <f t="shared" si="3"/>
        <v>8</v>
      </c>
    </row>
    <row r="37" spans="1:6" x14ac:dyDescent="0.25">
      <c r="A37" s="2" t="s">
        <v>39</v>
      </c>
      <c r="B37" s="12" t="str">
        <f t="shared" si="0"/>
        <v>G</v>
      </c>
      <c r="C37" s="8">
        <v>3</v>
      </c>
      <c r="D37">
        <f t="shared" si="1"/>
        <v>1</v>
      </c>
      <c r="E37">
        <f t="shared" si="2"/>
        <v>6</v>
      </c>
      <c r="F37" s="3">
        <f t="shared" si="3"/>
        <v>9</v>
      </c>
    </row>
    <row r="38" spans="1:6" x14ac:dyDescent="0.25">
      <c r="A38" s="2" t="s">
        <v>40</v>
      </c>
      <c r="B38" s="12" t="str">
        <f t="shared" si="0"/>
        <v>I</v>
      </c>
      <c r="C38" s="8">
        <v>4</v>
      </c>
      <c r="D38">
        <f t="shared" si="1"/>
        <v>1</v>
      </c>
      <c r="E38">
        <f t="shared" si="2"/>
        <v>8</v>
      </c>
      <c r="F38" s="3">
        <f t="shared" si="3"/>
        <v>12</v>
      </c>
    </row>
    <row r="39" spans="1:6" x14ac:dyDescent="0.25">
      <c r="A39" s="2" t="s">
        <v>41</v>
      </c>
      <c r="B39" s="12" t="str">
        <f t="shared" si="0"/>
        <v>K</v>
      </c>
      <c r="C39" s="8">
        <v>5</v>
      </c>
      <c r="D39">
        <f t="shared" si="1"/>
        <v>1</v>
      </c>
      <c r="E39">
        <f t="shared" si="2"/>
        <v>10</v>
      </c>
      <c r="F39" s="3">
        <f t="shared" si="3"/>
        <v>15</v>
      </c>
    </row>
    <row r="40" spans="1:6" x14ac:dyDescent="0.25">
      <c r="A40" s="2" t="s">
        <v>42</v>
      </c>
      <c r="B40" s="12" t="str">
        <f t="shared" si="0"/>
        <v>M</v>
      </c>
      <c r="C40" s="8">
        <v>6</v>
      </c>
      <c r="D40">
        <f t="shared" si="1"/>
        <v>1</v>
      </c>
      <c r="E40">
        <f t="shared" si="2"/>
        <v>12</v>
      </c>
      <c r="F40" s="3">
        <f t="shared" si="3"/>
        <v>18</v>
      </c>
    </row>
    <row r="41" spans="1:6" x14ac:dyDescent="0.25">
      <c r="A41" s="2" t="s">
        <v>43</v>
      </c>
      <c r="B41" s="12" t="str">
        <f t="shared" si="0"/>
        <v>O</v>
      </c>
      <c r="C41" s="8">
        <v>7</v>
      </c>
      <c r="D41">
        <f t="shared" si="1"/>
        <v>2</v>
      </c>
      <c r="E41">
        <f t="shared" si="2"/>
        <v>14</v>
      </c>
      <c r="F41" s="3">
        <f t="shared" si="3"/>
        <v>14</v>
      </c>
    </row>
    <row r="42" spans="1:6" x14ac:dyDescent="0.25">
      <c r="A42" s="2" t="s">
        <v>44</v>
      </c>
      <c r="B42" s="12" t="str">
        <f t="shared" si="0"/>
        <v>Q</v>
      </c>
      <c r="C42" s="8">
        <v>8</v>
      </c>
      <c r="D42">
        <f t="shared" si="1"/>
        <v>2</v>
      </c>
      <c r="E42">
        <f t="shared" si="2"/>
        <v>16</v>
      </c>
      <c r="F42" s="3">
        <f t="shared" si="3"/>
        <v>16</v>
      </c>
    </row>
    <row r="43" spans="1:6" x14ac:dyDescent="0.25">
      <c r="A43" s="2" t="s">
        <v>45</v>
      </c>
      <c r="B43" s="12" t="str">
        <f t="shared" si="0"/>
        <v>S</v>
      </c>
      <c r="C43" s="8">
        <v>9</v>
      </c>
      <c r="D43">
        <f t="shared" si="1"/>
        <v>2</v>
      </c>
      <c r="E43">
        <f t="shared" si="2"/>
        <v>18</v>
      </c>
      <c r="F43" s="3">
        <f t="shared" si="3"/>
        <v>18</v>
      </c>
    </row>
    <row r="44" spans="1:6" x14ac:dyDescent="0.25">
      <c r="A44" s="2" t="s">
        <v>7</v>
      </c>
      <c r="B44" s="12" t="str">
        <f t="shared" si="0"/>
        <v>U</v>
      </c>
      <c r="C44" s="8">
        <v>10</v>
      </c>
      <c r="D44">
        <f t="shared" si="1"/>
        <v>2</v>
      </c>
      <c r="E44">
        <f t="shared" si="2"/>
        <v>20</v>
      </c>
      <c r="F44" s="3">
        <f t="shared" si="3"/>
        <v>20</v>
      </c>
    </row>
    <row r="45" spans="1:6" x14ac:dyDescent="0.25">
      <c r="A45" s="2" t="s">
        <v>46</v>
      </c>
      <c r="B45" s="12" t="str">
        <f t="shared" si="0"/>
        <v>W</v>
      </c>
      <c r="C45" s="8">
        <v>0.5</v>
      </c>
      <c r="D45">
        <f t="shared" si="1"/>
        <v>2</v>
      </c>
      <c r="E45">
        <f t="shared" si="2"/>
        <v>1</v>
      </c>
      <c r="F45" s="3">
        <f t="shared" si="3"/>
        <v>1</v>
      </c>
    </row>
    <row r="46" spans="1:6" x14ac:dyDescent="0.25">
      <c r="A46" s="2" t="s">
        <v>47</v>
      </c>
      <c r="B46" s="12" t="str">
        <f t="shared" si="0"/>
        <v>Y</v>
      </c>
      <c r="C46" s="8">
        <v>1</v>
      </c>
      <c r="D46">
        <f t="shared" si="1"/>
        <v>2</v>
      </c>
      <c r="E46">
        <f t="shared" si="2"/>
        <v>2</v>
      </c>
      <c r="F46" s="3">
        <f t="shared" si="3"/>
        <v>2</v>
      </c>
    </row>
    <row r="47" spans="1:6" x14ac:dyDescent="0.25">
      <c r="A47" s="2" t="s">
        <v>48</v>
      </c>
      <c r="B47" s="12" t="str">
        <f t="shared" si="0"/>
        <v>A</v>
      </c>
      <c r="C47" s="8">
        <v>2</v>
      </c>
      <c r="D47">
        <f t="shared" si="1"/>
        <v>0</v>
      </c>
      <c r="E47">
        <f t="shared" si="2"/>
        <v>4</v>
      </c>
      <c r="F47" s="3">
        <f t="shared" si="3"/>
        <v>8</v>
      </c>
    </row>
    <row r="48" spans="1:6" x14ac:dyDescent="0.25">
      <c r="A48" s="2" t="s">
        <v>49</v>
      </c>
      <c r="B48" s="12" t="str">
        <f t="shared" si="0"/>
        <v>C</v>
      </c>
      <c r="C48" s="8">
        <v>3</v>
      </c>
      <c r="D48">
        <f t="shared" si="1"/>
        <v>0</v>
      </c>
      <c r="E48">
        <f t="shared" si="2"/>
        <v>6</v>
      </c>
      <c r="F48" s="3">
        <f t="shared" si="3"/>
        <v>12</v>
      </c>
    </row>
    <row r="49" spans="1:6" x14ac:dyDescent="0.25">
      <c r="A49" s="2" t="s">
        <v>50</v>
      </c>
      <c r="B49" s="12" t="str">
        <f t="shared" si="0"/>
        <v>E</v>
      </c>
      <c r="C49" s="8">
        <v>4</v>
      </c>
      <c r="D49">
        <f t="shared" si="1"/>
        <v>0</v>
      </c>
      <c r="E49">
        <f t="shared" si="2"/>
        <v>8</v>
      </c>
      <c r="F49" s="3">
        <f t="shared" si="3"/>
        <v>16</v>
      </c>
    </row>
    <row r="50" spans="1:6" x14ac:dyDescent="0.25">
      <c r="A50" s="2" t="s">
        <v>51</v>
      </c>
      <c r="B50" s="12" t="str">
        <f t="shared" si="0"/>
        <v>G</v>
      </c>
      <c r="C50" s="8">
        <v>5</v>
      </c>
      <c r="D50">
        <f t="shared" si="1"/>
        <v>1</v>
      </c>
      <c r="E50">
        <f t="shared" si="2"/>
        <v>10</v>
      </c>
      <c r="F50" s="3">
        <f t="shared" si="3"/>
        <v>15</v>
      </c>
    </row>
    <row r="51" spans="1:6" x14ac:dyDescent="0.25">
      <c r="A51" s="2" t="s">
        <v>52</v>
      </c>
      <c r="B51" s="12" t="str">
        <f t="shared" si="0"/>
        <v>I</v>
      </c>
      <c r="C51" s="8">
        <v>6</v>
      </c>
      <c r="D51">
        <f t="shared" si="1"/>
        <v>1</v>
      </c>
      <c r="E51">
        <f t="shared" si="2"/>
        <v>12</v>
      </c>
      <c r="F51" s="3">
        <f t="shared" si="3"/>
        <v>18</v>
      </c>
    </row>
    <row r="52" spans="1:6" x14ac:dyDescent="0.25">
      <c r="A52" s="2" t="s">
        <v>53</v>
      </c>
      <c r="B52" s="12" t="str">
        <f t="shared" si="0"/>
        <v>K</v>
      </c>
      <c r="C52" s="8">
        <v>7</v>
      </c>
      <c r="D52">
        <f t="shared" si="1"/>
        <v>1</v>
      </c>
      <c r="E52">
        <f t="shared" si="2"/>
        <v>14</v>
      </c>
      <c r="F52" s="3">
        <f t="shared" si="3"/>
        <v>21</v>
      </c>
    </row>
    <row r="53" spans="1:6" x14ac:dyDescent="0.25">
      <c r="A53" s="2" t="s">
        <v>54</v>
      </c>
      <c r="B53" s="12" t="str">
        <f t="shared" si="0"/>
        <v>M</v>
      </c>
      <c r="C53" s="8">
        <v>8</v>
      </c>
      <c r="D53">
        <f t="shared" si="1"/>
        <v>1</v>
      </c>
      <c r="E53">
        <f t="shared" si="2"/>
        <v>16</v>
      </c>
      <c r="F53" s="3">
        <f t="shared" si="3"/>
        <v>24</v>
      </c>
    </row>
    <row r="54" spans="1:6" x14ac:dyDescent="0.25">
      <c r="A54" s="2" t="s">
        <v>55</v>
      </c>
      <c r="B54" s="12" t="str">
        <f t="shared" si="0"/>
        <v>O</v>
      </c>
      <c r="C54" s="8">
        <v>9</v>
      </c>
      <c r="D54">
        <f t="shared" si="1"/>
        <v>2</v>
      </c>
      <c r="E54">
        <f t="shared" si="2"/>
        <v>18</v>
      </c>
      <c r="F54" s="3">
        <f t="shared" si="3"/>
        <v>18</v>
      </c>
    </row>
    <row r="55" spans="1:6" x14ac:dyDescent="0.25">
      <c r="A55" s="2" t="s">
        <v>56</v>
      </c>
      <c r="B55" s="12" t="str">
        <f t="shared" si="0"/>
        <v>Q</v>
      </c>
      <c r="C55" s="8">
        <v>10</v>
      </c>
      <c r="D55">
        <f t="shared" si="1"/>
        <v>2</v>
      </c>
      <c r="E55">
        <f t="shared" si="2"/>
        <v>20</v>
      </c>
      <c r="F55" s="3">
        <f t="shared" si="3"/>
        <v>20</v>
      </c>
    </row>
    <row r="56" spans="1:6" x14ac:dyDescent="0.25">
      <c r="A56" s="2" t="s">
        <v>57</v>
      </c>
      <c r="B56" s="12" t="str">
        <f t="shared" si="0"/>
        <v>S</v>
      </c>
      <c r="C56" s="8">
        <v>0.5</v>
      </c>
      <c r="D56">
        <f t="shared" si="1"/>
        <v>2</v>
      </c>
      <c r="E56">
        <f t="shared" si="2"/>
        <v>1</v>
      </c>
      <c r="F56" s="3">
        <f t="shared" si="3"/>
        <v>1</v>
      </c>
    </row>
    <row r="57" spans="1:6" x14ac:dyDescent="0.25">
      <c r="A57" s="2" t="s">
        <v>58</v>
      </c>
      <c r="B57" s="12" t="str">
        <f t="shared" si="0"/>
        <v>U</v>
      </c>
      <c r="C57" s="8">
        <v>1</v>
      </c>
      <c r="D57">
        <f t="shared" si="1"/>
        <v>2</v>
      </c>
      <c r="E57">
        <f t="shared" si="2"/>
        <v>2</v>
      </c>
      <c r="F57" s="3">
        <f t="shared" si="3"/>
        <v>2</v>
      </c>
    </row>
    <row r="58" spans="1:6" x14ac:dyDescent="0.25">
      <c r="A58" s="2" t="s">
        <v>59</v>
      </c>
      <c r="B58" s="12" t="str">
        <f t="shared" si="0"/>
        <v>W</v>
      </c>
      <c r="C58" s="8">
        <v>2</v>
      </c>
      <c r="D58">
        <f t="shared" si="1"/>
        <v>2</v>
      </c>
      <c r="E58">
        <f t="shared" si="2"/>
        <v>4</v>
      </c>
      <c r="F58" s="3">
        <f t="shared" si="3"/>
        <v>4</v>
      </c>
    </row>
    <row r="59" spans="1:6" x14ac:dyDescent="0.25">
      <c r="A59" s="2" t="s">
        <v>60</v>
      </c>
      <c r="B59" s="12" t="str">
        <f t="shared" si="0"/>
        <v>Y</v>
      </c>
      <c r="C59" s="8">
        <v>3</v>
      </c>
      <c r="D59">
        <f t="shared" si="1"/>
        <v>2</v>
      </c>
      <c r="E59">
        <f t="shared" si="2"/>
        <v>6</v>
      </c>
      <c r="F59" s="3">
        <f t="shared" si="3"/>
        <v>6</v>
      </c>
    </row>
    <row r="60" spans="1:6" x14ac:dyDescent="0.25">
      <c r="A60" s="2" t="s">
        <v>61</v>
      </c>
      <c r="B60" s="12" t="str">
        <f t="shared" si="0"/>
        <v>A</v>
      </c>
      <c r="C60" s="8">
        <v>4</v>
      </c>
      <c r="D60">
        <f t="shared" si="1"/>
        <v>0</v>
      </c>
      <c r="E60">
        <f t="shared" si="2"/>
        <v>8</v>
      </c>
      <c r="F60" s="3">
        <f t="shared" si="3"/>
        <v>16</v>
      </c>
    </row>
    <row r="61" spans="1:6" x14ac:dyDescent="0.25">
      <c r="A61" s="2" t="s">
        <v>62</v>
      </c>
      <c r="B61" s="12" t="str">
        <f t="shared" si="0"/>
        <v>C</v>
      </c>
      <c r="C61" s="8">
        <v>5</v>
      </c>
      <c r="D61">
        <f t="shared" si="1"/>
        <v>0</v>
      </c>
      <c r="E61">
        <f t="shared" si="2"/>
        <v>10</v>
      </c>
      <c r="F61" s="3">
        <f t="shared" si="3"/>
        <v>20</v>
      </c>
    </row>
    <row r="62" spans="1:6" x14ac:dyDescent="0.25">
      <c r="A62" s="2" t="s">
        <v>63</v>
      </c>
      <c r="B62" s="12" t="str">
        <f t="shared" si="0"/>
        <v>E</v>
      </c>
      <c r="C62" s="8">
        <v>6</v>
      </c>
      <c r="D62">
        <f t="shared" si="1"/>
        <v>0</v>
      </c>
      <c r="E62">
        <f t="shared" si="2"/>
        <v>12</v>
      </c>
      <c r="F62" s="3">
        <f t="shared" si="3"/>
        <v>24</v>
      </c>
    </row>
    <row r="63" spans="1:6" x14ac:dyDescent="0.25">
      <c r="A63" s="2" t="s">
        <v>64</v>
      </c>
      <c r="B63" s="12" t="str">
        <f t="shared" si="0"/>
        <v>G</v>
      </c>
      <c r="C63" s="8">
        <v>7</v>
      </c>
      <c r="D63">
        <f t="shared" si="1"/>
        <v>1</v>
      </c>
      <c r="E63">
        <f t="shared" si="2"/>
        <v>14</v>
      </c>
      <c r="F63" s="3">
        <f t="shared" si="3"/>
        <v>21</v>
      </c>
    </row>
    <row r="64" spans="1:6" x14ac:dyDescent="0.25">
      <c r="A64" s="2" t="s">
        <v>65</v>
      </c>
      <c r="B64" s="12" t="str">
        <f t="shared" si="0"/>
        <v>I</v>
      </c>
      <c r="C64" s="8">
        <v>8</v>
      </c>
      <c r="D64">
        <f t="shared" si="1"/>
        <v>1</v>
      </c>
      <c r="E64">
        <f t="shared" si="2"/>
        <v>16</v>
      </c>
      <c r="F64" s="3">
        <f t="shared" si="3"/>
        <v>24</v>
      </c>
    </row>
    <row r="65" spans="1:6" x14ac:dyDescent="0.25">
      <c r="A65" s="2" t="s">
        <v>66</v>
      </c>
      <c r="B65" s="12" t="str">
        <f t="shared" si="0"/>
        <v>K</v>
      </c>
      <c r="C65" s="8">
        <v>9</v>
      </c>
      <c r="D65">
        <f t="shared" si="1"/>
        <v>1</v>
      </c>
      <c r="E65">
        <f t="shared" si="2"/>
        <v>18</v>
      </c>
      <c r="F65" s="3">
        <f t="shared" si="3"/>
        <v>27</v>
      </c>
    </row>
    <row r="66" spans="1:6" x14ac:dyDescent="0.25">
      <c r="A66" s="2" t="s">
        <v>67</v>
      </c>
      <c r="B66" s="12" t="str">
        <f t="shared" si="0"/>
        <v>M</v>
      </c>
      <c r="C66" s="8">
        <v>10</v>
      </c>
      <c r="D66">
        <f t="shared" si="1"/>
        <v>1</v>
      </c>
      <c r="E66">
        <f t="shared" si="2"/>
        <v>20</v>
      </c>
      <c r="F66" s="3">
        <f t="shared" si="3"/>
        <v>30</v>
      </c>
    </row>
    <row r="67" spans="1:6" x14ac:dyDescent="0.25">
      <c r="A67" s="2" t="s">
        <v>68</v>
      </c>
      <c r="B67" s="12" t="str">
        <f t="shared" ref="B67:B101" si="4">LEFT(A67)</f>
        <v>O</v>
      </c>
      <c r="C67" s="8">
        <v>0.5</v>
      </c>
      <c r="D67">
        <f t="shared" ref="D67:D101" si="5">IF(B67&lt;="F",0,IF(B67&lt;="M",1,2))</f>
        <v>2</v>
      </c>
      <c r="E67">
        <f t="shared" ref="E67:E101" si="6">C67/0.5</f>
        <v>1</v>
      </c>
      <c r="F67" s="3">
        <f t="shared" ref="F67:F101" si="7">IF(D67=0,E67*$I$2,IF(D67=1,E67*$I$3,E67))</f>
        <v>1</v>
      </c>
    </row>
    <row r="68" spans="1:6" x14ac:dyDescent="0.25">
      <c r="A68" s="2" t="s">
        <v>69</v>
      </c>
      <c r="B68" s="12" t="str">
        <f t="shared" si="4"/>
        <v>Q</v>
      </c>
      <c r="C68" s="8">
        <v>1</v>
      </c>
      <c r="D68">
        <f t="shared" si="5"/>
        <v>2</v>
      </c>
      <c r="E68">
        <f t="shared" si="6"/>
        <v>2</v>
      </c>
      <c r="F68" s="3">
        <f t="shared" si="7"/>
        <v>2</v>
      </c>
    </row>
    <row r="69" spans="1:6" x14ac:dyDescent="0.25">
      <c r="A69" s="2" t="s">
        <v>70</v>
      </c>
      <c r="B69" s="12" t="str">
        <f t="shared" si="4"/>
        <v>S</v>
      </c>
      <c r="C69" s="8">
        <v>2</v>
      </c>
      <c r="D69">
        <f t="shared" si="5"/>
        <v>2</v>
      </c>
      <c r="E69">
        <f t="shared" si="6"/>
        <v>4</v>
      </c>
      <c r="F69" s="3">
        <f t="shared" si="7"/>
        <v>4</v>
      </c>
    </row>
    <row r="70" spans="1:6" x14ac:dyDescent="0.25">
      <c r="A70" s="2" t="s">
        <v>71</v>
      </c>
      <c r="B70" s="12" t="str">
        <f t="shared" si="4"/>
        <v>U</v>
      </c>
      <c r="C70" s="8">
        <v>3</v>
      </c>
      <c r="D70">
        <f t="shared" si="5"/>
        <v>2</v>
      </c>
      <c r="E70">
        <f t="shared" si="6"/>
        <v>6</v>
      </c>
      <c r="F70" s="3">
        <f t="shared" si="7"/>
        <v>6</v>
      </c>
    </row>
    <row r="71" spans="1:6" x14ac:dyDescent="0.25">
      <c r="A71" s="2" t="s">
        <v>72</v>
      </c>
      <c r="B71" s="12" t="str">
        <f t="shared" si="4"/>
        <v>W</v>
      </c>
      <c r="C71" s="8">
        <v>4</v>
      </c>
      <c r="D71">
        <f t="shared" si="5"/>
        <v>2</v>
      </c>
      <c r="E71">
        <f t="shared" si="6"/>
        <v>8</v>
      </c>
      <c r="F71" s="3">
        <f t="shared" si="7"/>
        <v>8</v>
      </c>
    </row>
    <row r="72" spans="1:6" x14ac:dyDescent="0.25">
      <c r="A72" s="2" t="s">
        <v>73</v>
      </c>
      <c r="B72" s="12" t="str">
        <f t="shared" si="4"/>
        <v>Y</v>
      </c>
      <c r="C72" s="8">
        <v>5</v>
      </c>
      <c r="D72">
        <f t="shared" si="5"/>
        <v>2</v>
      </c>
      <c r="E72">
        <f t="shared" si="6"/>
        <v>10</v>
      </c>
      <c r="F72" s="3">
        <f t="shared" si="7"/>
        <v>10</v>
      </c>
    </row>
    <row r="73" spans="1:6" x14ac:dyDescent="0.25">
      <c r="A73" s="2" t="s">
        <v>74</v>
      </c>
      <c r="B73" s="12" t="str">
        <f t="shared" si="4"/>
        <v>A</v>
      </c>
      <c r="C73" s="8">
        <v>6</v>
      </c>
      <c r="D73">
        <f t="shared" si="5"/>
        <v>0</v>
      </c>
      <c r="E73">
        <f t="shared" si="6"/>
        <v>12</v>
      </c>
      <c r="F73" s="3">
        <f t="shared" si="7"/>
        <v>24</v>
      </c>
    </row>
    <row r="74" spans="1:6" x14ac:dyDescent="0.25">
      <c r="A74" s="2" t="s">
        <v>75</v>
      </c>
      <c r="B74" s="12" t="str">
        <f t="shared" si="4"/>
        <v>C</v>
      </c>
      <c r="C74" s="8">
        <v>7</v>
      </c>
      <c r="D74">
        <f t="shared" si="5"/>
        <v>0</v>
      </c>
      <c r="E74">
        <f t="shared" si="6"/>
        <v>14</v>
      </c>
      <c r="F74" s="3">
        <f t="shared" si="7"/>
        <v>28</v>
      </c>
    </row>
    <row r="75" spans="1:6" x14ac:dyDescent="0.25">
      <c r="A75" s="2" t="s">
        <v>76</v>
      </c>
      <c r="B75" s="12" t="str">
        <f t="shared" si="4"/>
        <v>E</v>
      </c>
      <c r="C75" s="8">
        <v>8</v>
      </c>
      <c r="D75">
        <f t="shared" si="5"/>
        <v>0</v>
      </c>
      <c r="E75">
        <f t="shared" si="6"/>
        <v>16</v>
      </c>
      <c r="F75" s="3">
        <f t="shared" si="7"/>
        <v>32</v>
      </c>
    </row>
    <row r="76" spans="1:6" x14ac:dyDescent="0.25">
      <c r="A76" s="2" t="s">
        <v>77</v>
      </c>
      <c r="B76" s="12" t="str">
        <f t="shared" si="4"/>
        <v>G</v>
      </c>
      <c r="C76" s="8">
        <v>9</v>
      </c>
      <c r="D76">
        <f t="shared" si="5"/>
        <v>1</v>
      </c>
      <c r="E76">
        <f t="shared" si="6"/>
        <v>18</v>
      </c>
      <c r="F76" s="3">
        <f t="shared" si="7"/>
        <v>27</v>
      </c>
    </row>
    <row r="77" spans="1:6" x14ac:dyDescent="0.25">
      <c r="A77" s="2" t="s">
        <v>78</v>
      </c>
      <c r="B77" s="12" t="str">
        <f t="shared" si="4"/>
        <v>I</v>
      </c>
      <c r="C77" s="8">
        <v>10</v>
      </c>
      <c r="D77">
        <f t="shared" si="5"/>
        <v>1</v>
      </c>
      <c r="E77">
        <f t="shared" si="6"/>
        <v>20</v>
      </c>
      <c r="F77" s="3">
        <f t="shared" si="7"/>
        <v>30</v>
      </c>
    </row>
    <row r="78" spans="1:6" x14ac:dyDescent="0.25">
      <c r="A78" s="2" t="s">
        <v>79</v>
      </c>
      <c r="B78" s="12" t="str">
        <f t="shared" si="4"/>
        <v>K</v>
      </c>
      <c r="C78" s="8">
        <v>0.5</v>
      </c>
      <c r="D78">
        <f t="shared" si="5"/>
        <v>1</v>
      </c>
      <c r="E78">
        <f t="shared" si="6"/>
        <v>1</v>
      </c>
      <c r="F78" s="3">
        <f t="shared" si="7"/>
        <v>1.5</v>
      </c>
    </row>
    <row r="79" spans="1:6" x14ac:dyDescent="0.25">
      <c r="A79" s="2" t="s">
        <v>80</v>
      </c>
      <c r="B79" s="12" t="str">
        <f t="shared" si="4"/>
        <v>M</v>
      </c>
      <c r="C79" s="8">
        <v>1</v>
      </c>
      <c r="D79">
        <f t="shared" si="5"/>
        <v>1</v>
      </c>
      <c r="E79">
        <f t="shared" si="6"/>
        <v>2</v>
      </c>
      <c r="F79" s="3">
        <f t="shared" si="7"/>
        <v>3</v>
      </c>
    </row>
    <row r="80" spans="1:6" x14ac:dyDescent="0.25">
      <c r="A80" s="2" t="s">
        <v>81</v>
      </c>
      <c r="B80" s="12" t="str">
        <f t="shared" si="4"/>
        <v>O</v>
      </c>
      <c r="C80" s="8">
        <v>2</v>
      </c>
      <c r="D80">
        <f t="shared" si="5"/>
        <v>2</v>
      </c>
      <c r="E80">
        <f t="shared" si="6"/>
        <v>4</v>
      </c>
      <c r="F80" s="3">
        <f t="shared" si="7"/>
        <v>4</v>
      </c>
    </row>
    <row r="81" spans="1:6" x14ac:dyDescent="0.25">
      <c r="A81" s="2" t="s">
        <v>82</v>
      </c>
      <c r="B81" s="12" t="str">
        <f t="shared" si="4"/>
        <v>Q</v>
      </c>
      <c r="C81" s="8">
        <v>3</v>
      </c>
      <c r="D81">
        <f t="shared" si="5"/>
        <v>2</v>
      </c>
      <c r="E81">
        <f t="shared" si="6"/>
        <v>6</v>
      </c>
      <c r="F81" s="3">
        <f t="shared" si="7"/>
        <v>6</v>
      </c>
    </row>
    <row r="82" spans="1:6" x14ac:dyDescent="0.25">
      <c r="A82" s="2" t="s">
        <v>83</v>
      </c>
      <c r="B82" s="12" t="str">
        <f t="shared" si="4"/>
        <v>S</v>
      </c>
      <c r="C82" s="8">
        <v>4</v>
      </c>
      <c r="D82">
        <f t="shared" si="5"/>
        <v>2</v>
      </c>
      <c r="E82">
        <f t="shared" si="6"/>
        <v>8</v>
      </c>
      <c r="F82" s="3">
        <f t="shared" si="7"/>
        <v>8</v>
      </c>
    </row>
    <row r="83" spans="1:6" x14ac:dyDescent="0.25">
      <c r="A83" s="2" t="s">
        <v>84</v>
      </c>
      <c r="B83" s="12" t="str">
        <f t="shared" si="4"/>
        <v>U</v>
      </c>
      <c r="C83" s="8">
        <v>5</v>
      </c>
      <c r="D83">
        <f t="shared" si="5"/>
        <v>2</v>
      </c>
      <c r="E83">
        <f t="shared" si="6"/>
        <v>10</v>
      </c>
      <c r="F83" s="3">
        <f t="shared" si="7"/>
        <v>10</v>
      </c>
    </row>
    <row r="84" spans="1:6" x14ac:dyDescent="0.25">
      <c r="A84" s="2" t="s">
        <v>85</v>
      </c>
      <c r="B84" s="12" t="str">
        <f t="shared" si="4"/>
        <v>W</v>
      </c>
      <c r="C84" s="8">
        <v>6</v>
      </c>
      <c r="D84">
        <f t="shared" si="5"/>
        <v>2</v>
      </c>
      <c r="E84">
        <f t="shared" si="6"/>
        <v>12</v>
      </c>
      <c r="F84" s="3">
        <f t="shared" si="7"/>
        <v>12</v>
      </c>
    </row>
    <row r="85" spans="1:6" x14ac:dyDescent="0.25">
      <c r="A85" s="2" t="s">
        <v>86</v>
      </c>
      <c r="B85" s="12" t="str">
        <f t="shared" si="4"/>
        <v>Y</v>
      </c>
      <c r="C85" s="8">
        <v>7</v>
      </c>
      <c r="D85">
        <f t="shared" si="5"/>
        <v>2</v>
      </c>
      <c r="E85">
        <f t="shared" si="6"/>
        <v>14</v>
      </c>
      <c r="F85" s="3">
        <f t="shared" si="7"/>
        <v>14</v>
      </c>
    </row>
    <row r="86" spans="1:6" x14ac:dyDescent="0.25">
      <c r="A86" s="2" t="s">
        <v>87</v>
      </c>
      <c r="B86" s="12" t="str">
        <f t="shared" si="4"/>
        <v>A</v>
      </c>
      <c r="C86" s="8">
        <v>8</v>
      </c>
      <c r="D86">
        <f t="shared" si="5"/>
        <v>0</v>
      </c>
      <c r="E86">
        <f t="shared" si="6"/>
        <v>16</v>
      </c>
      <c r="F86" s="3">
        <f t="shared" si="7"/>
        <v>32</v>
      </c>
    </row>
    <row r="87" spans="1:6" x14ac:dyDescent="0.25">
      <c r="A87" s="2" t="s">
        <v>88</v>
      </c>
      <c r="B87" s="12" t="str">
        <f t="shared" si="4"/>
        <v>C</v>
      </c>
      <c r="C87" s="8">
        <v>9</v>
      </c>
      <c r="D87">
        <f t="shared" si="5"/>
        <v>0</v>
      </c>
      <c r="E87">
        <f t="shared" si="6"/>
        <v>18</v>
      </c>
      <c r="F87" s="3">
        <f t="shared" si="7"/>
        <v>36</v>
      </c>
    </row>
    <row r="88" spans="1:6" x14ac:dyDescent="0.25">
      <c r="A88" s="2" t="s">
        <v>89</v>
      </c>
      <c r="B88" s="12" t="str">
        <f t="shared" si="4"/>
        <v>E</v>
      </c>
      <c r="C88" s="8">
        <v>10</v>
      </c>
      <c r="D88">
        <f t="shared" si="5"/>
        <v>0</v>
      </c>
      <c r="E88">
        <f t="shared" si="6"/>
        <v>20</v>
      </c>
      <c r="F88" s="3">
        <f t="shared" si="7"/>
        <v>40</v>
      </c>
    </row>
    <row r="89" spans="1:6" x14ac:dyDescent="0.25">
      <c r="A89" s="2" t="s">
        <v>90</v>
      </c>
      <c r="B89" s="12" t="str">
        <f t="shared" si="4"/>
        <v>G</v>
      </c>
      <c r="C89" s="8">
        <v>0.5</v>
      </c>
      <c r="D89">
        <f t="shared" si="5"/>
        <v>1</v>
      </c>
      <c r="E89">
        <f t="shared" si="6"/>
        <v>1</v>
      </c>
      <c r="F89" s="3">
        <f t="shared" si="7"/>
        <v>1.5</v>
      </c>
    </row>
    <row r="90" spans="1:6" x14ac:dyDescent="0.25">
      <c r="A90" s="2" t="s">
        <v>91</v>
      </c>
      <c r="B90" s="12" t="str">
        <f t="shared" si="4"/>
        <v>I</v>
      </c>
      <c r="C90" s="8">
        <v>1</v>
      </c>
      <c r="D90">
        <f t="shared" si="5"/>
        <v>1</v>
      </c>
      <c r="E90">
        <f t="shared" si="6"/>
        <v>2</v>
      </c>
      <c r="F90" s="3">
        <f t="shared" si="7"/>
        <v>3</v>
      </c>
    </row>
    <row r="91" spans="1:6" x14ac:dyDescent="0.25">
      <c r="A91" s="2" t="s">
        <v>92</v>
      </c>
      <c r="B91" s="12" t="str">
        <f t="shared" si="4"/>
        <v>K</v>
      </c>
      <c r="C91" s="8">
        <v>2</v>
      </c>
      <c r="D91">
        <f t="shared" si="5"/>
        <v>1</v>
      </c>
      <c r="E91">
        <f t="shared" si="6"/>
        <v>4</v>
      </c>
      <c r="F91" s="3">
        <f t="shared" si="7"/>
        <v>6</v>
      </c>
    </row>
    <row r="92" spans="1:6" x14ac:dyDescent="0.25">
      <c r="A92" s="2" t="s">
        <v>93</v>
      </c>
      <c r="B92" s="12" t="str">
        <f t="shared" si="4"/>
        <v>M</v>
      </c>
      <c r="C92" s="8">
        <v>3</v>
      </c>
      <c r="D92">
        <f t="shared" si="5"/>
        <v>1</v>
      </c>
      <c r="E92">
        <f t="shared" si="6"/>
        <v>6</v>
      </c>
      <c r="F92" s="3">
        <f t="shared" si="7"/>
        <v>9</v>
      </c>
    </row>
    <row r="93" spans="1:6" x14ac:dyDescent="0.25">
      <c r="A93" s="2" t="s">
        <v>94</v>
      </c>
      <c r="B93" s="12" t="str">
        <f t="shared" si="4"/>
        <v>O</v>
      </c>
      <c r="C93" s="8">
        <v>4</v>
      </c>
      <c r="D93">
        <f t="shared" si="5"/>
        <v>2</v>
      </c>
      <c r="E93">
        <f t="shared" si="6"/>
        <v>8</v>
      </c>
      <c r="F93" s="3">
        <f t="shared" si="7"/>
        <v>8</v>
      </c>
    </row>
    <row r="94" spans="1:6" x14ac:dyDescent="0.25">
      <c r="A94" s="2" t="s">
        <v>95</v>
      </c>
      <c r="B94" s="12" t="str">
        <f t="shared" si="4"/>
        <v>Q</v>
      </c>
      <c r="C94" s="8">
        <v>5</v>
      </c>
      <c r="D94">
        <f t="shared" si="5"/>
        <v>2</v>
      </c>
      <c r="E94">
        <f t="shared" si="6"/>
        <v>10</v>
      </c>
      <c r="F94" s="3">
        <f t="shared" si="7"/>
        <v>10</v>
      </c>
    </row>
    <row r="95" spans="1:6" x14ac:dyDescent="0.25">
      <c r="A95" s="2" t="s">
        <v>96</v>
      </c>
      <c r="B95" s="12" t="str">
        <f t="shared" si="4"/>
        <v>S</v>
      </c>
      <c r="C95" s="8">
        <v>6</v>
      </c>
      <c r="D95">
        <f t="shared" si="5"/>
        <v>2</v>
      </c>
      <c r="E95">
        <f t="shared" si="6"/>
        <v>12</v>
      </c>
      <c r="F95" s="3">
        <f t="shared" si="7"/>
        <v>12</v>
      </c>
    </row>
    <row r="96" spans="1:6" x14ac:dyDescent="0.25">
      <c r="A96" s="2" t="s">
        <v>97</v>
      </c>
      <c r="B96" s="12" t="str">
        <f t="shared" si="4"/>
        <v>U</v>
      </c>
      <c r="C96" s="8">
        <v>7</v>
      </c>
      <c r="D96">
        <f t="shared" si="5"/>
        <v>2</v>
      </c>
      <c r="E96">
        <f t="shared" si="6"/>
        <v>14</v>
      </c>
      <c r="F96" s="3">
        <f t="shared" si="7"/>
        <v>14</v>
      </c>
    </row>
    <row r="97" spans="1:6" x14ac:dyDescent="0.25">
      <c r="A97" s="2" t="s">
        <v>98</v>
      </c>
      <c r="B97" s="12" t="str">
        <f t="shared" si="4"/>
        <v>W</v>
      </c>
      <c r="C97" s="8">
        <v>8</v>
      </c>
      <c r="D97">
        <f t="shared" si="5"/>
        <v>2</v>
      </c>
      <c r="E97">
        <f t="shared" si="6"/>
        <v>16</v>
      </c>
      <c r="F97" s="3">
        <f t="shared" si="7"/>
        <v>16</v>
      </c>
    </row>
    <row r="98" spans="1:6" x14ac:dyDescent="0.25">
      <c r="A98" s="2" t="s">
        <v>99</v>
      </c>
      <c r="B98" s="12" t="str">
        <f t="shared" si="4"/>
        <v>Y</v>
      </c>
      <c r="C98" s="8">
        <v>9</v>
      </c>
      <c r="D98">
        <f t="shared" si="5"/>
        <v>2</v>
      </c>
      <c r="E98">
        <f t="shared" si="6"/>
        <v>18</v>
      </c>
      <c r="F98" s="3">
        <f t="shared" si="7"/>
        <v>18</v>
      </c>
    </row>
    <row r="99" spans="1:6" x14ac:dyDescent="0.25">
      <c r="A99" s="2" t="s">
        <v>100</v>
      </c>
      <c r="B99" s="12" t="str">
        <f t="shared" si="4"/>
        <v>A</v>
      </c>
      <c r="C99" s="8">
        <v>10</v>
      </c>
      <c r="D99">
        <f t="shared" si="5"/>
        <v>0</v>
      </c>
      <c r="E99">
        <f t="shared" si="6"/>
        <v>20</v>
      </c>
      <c r="F99" s="3">
        <f t="shared" si="7"/>
        <v>40</v>
      </c>
    </row>
    <row r="100" spans="1:6" x14ac:dyDescent="0.25">
      <c r="A100" s="2" t="s">
        <v>101</v>
      </c>
      <c r="B100" s="12" t="str">
        <f t="shared" si="4"/>
        <v>C</v>
      </c>
      <c r="C100" s="8">
        <v>0.5</v>
      </c>
      <c r="D100">
        <f t="shared" si="5"/>
        <v>0</v>
      </c>
      <c r="E100">
        <f t="shared" si="6"/>
        <v>1</v>
      </c>
      <c r="F100" s="3">
        <f t="shared" si="7"/>
        <v>2</v>
      </c>
    </row>
    <row r="101" spans="1:6" x14ac:dyDescent="0.25">
      <c r="A101" s="2" t="s">
        <v>102</v>
      </c>
      <c r="B101" s="12" t="str">
        <f t="shared" si="4"/>
        <v>E</v>
      </c>
      <c r="C101" s="8">
        <v>1</v>
      </c>
      <c r="D101">
        <f t="shared" si="5"/>
        <v>0</v>
      </c>
      <c r="E101">
        <f t="shared" si="6"/>
        <v>2</v>
      </c>
      <c r="F101" s="3">
        <f t="shared" si="7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J11" sqref="J11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</cols>
  <sheetData>
    <row r="1" spans="1:26" x14ac:dyDescent="0.25">
      <c r="A1" s="10" t="s">
        <v>103</v>
      </c>
      <c r="B1" s="1" t="s">
        <v>104</v>
      </c>
      <c r="C1" s="1" t="s">
        <v>3</v>
      </c>
      <c r="F1" s="10" t="s">
        <v>115</v>
      </c>
      <c r="G1" s="10" t="s">
        <v>116</v>
      </c>
      <c r="H1" s="1"/>
      <c r="I1" s="10" t="s">
        <v>117</v>
      </c>
      <c r="J1" s="1"/>
      <c r="K1" s="10" t="s">
        <v>118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105</v>
      </c>
      <c r="B2" s="2">
        <v>55</v>
      </c>
      <c r="F2" s="2" t="s">
        <v>105</v>
      </c>
      <c r="G2">
        <f>COUNTIF(A:A,F2)</f>
        <v>11</v>
      </c>
      <c r="I2">
        <f>SUMIF(A:A,F2,C:C)</f>
        <v>555</v>
      </c>
      <c r="K2">
        <f>SUMIFS(C:C,A:A,A2,B:B,"&gt;80")</f>
        <v>0</v>
      </c>
    </row>
    <row r="3" spans="1:26" x14ac:dyDescent="0.25">
      <c r="A3" s="2" t="s">
        <v>106</v>
      </c>
      <c r="B3" s="2">
        <v>70</v>
      </c>
      <c r="C3" s="2">
        <v>80</v>
      </c>
      <c r="F3" s="2" t="s">
        <v>106</v>
      </c>
      <c r="G3">
        <f>COUNTIF(A:A,F3)</f>
        <v>14</v>
      </c>
      <c r="I3">
        <f t="shared" ref="I3:I6" si="0">SUMIF(A:A,F3,C:C)</f>
        <v>815</v>
      </c>
    </row>
    <row r="4" spans="1:26" x14ac:dyDescent="0.25">
      <c r="A4" s="2" t="s">
        <v>107</v>
      </c>
      <c r="B4" s="2">
        <v>40</v>
      </c>
      <c r="C4" s="2">
        <v>60</v>
      </c>
      <c r="F4" s="2" t="s">
        <v>107</v>
      </c>
      <c r="G4">
        <f>COUNTIF(A:A,F4)</f>
        <v>11</v>
      </c>
      <c r="I4">
        <f t="shared" si="0"/>
        <v>495</v>
      </c>
    </row>
    <row r="5" spans="1:26" x14ac:dyDescent="0.25">
      <c r="A5" s="2" t="s">
        <v>105</v>
      </c>
      <c r="B5" s="2">
        <v>20</v>
      </c>
      <c r="C5" s="2">
        <v>100</v>
      </c>
      <c r="F5" s="2" t="s">
        <v>108</v>
      </c>
      <c r="G5">
        <f>COUNTIF(A:A,F5)</f>
        <v>7</v>
      </c>
      <c r="I5">
        <f t="shared" si="0"/>
        <v>225</v>
      </c>
    </row>
    <row r="6" spans="1:26" x14ac:dyDescent="0.25">
      <c r="A6" s="2" t="s">
        <v>108</v>
      </c>
      <c r="B6" s="2">
        <v>90</v>
      </c>
      <c r="C6" s="2">
        <v>30</v>
      </c>
      <c r="F6" s="2" t="s">
        <v>109</v>
      </c>
      <c r="G6">
        <f>COUNTIF(A:A,F6)</f>
        <v>3</v>
      </c>
      <c r="I6">
        <f t="shared" si="0"/>
        <v>150</v>
      </c>
    </row>
    <row r="7" spans="1:26" x14ac:dyDescent="0.25">
      <c r="A7" s="2" t="s">
        <v>106</v>
      </c>
      <c r="B7" s="2">
        <v>50</v>
      </c>
      <c r="C7" s="2">
        <v>40</v>
      </c>
    </row>
    <row r="8" spans="1:26" x14ac:dyDescent="0.25">
      <c r="A8" s="2" t="s">
        <v>107</v>
      </c>
      <c r="B8" s="2">
        <v>60</v>
      </c>
      <c r="C8" s="2">
        <v>55</v>
      </c>
    </row>
    <row r="9" spans="1:26" x14ac:dyDescent="0.25">
      <c r="A9" s="2" t="s">
        <v>105</v>
      </c>
      <c r="B9" s="2">
        <v>45</v>
      </c>
    </row>
    <row r="10" spans="1:26" x14ac:dyDescent="0.25">
      <c r="A10" s="2" t="s">
        <v>106</v>
      </c>
      <c r="B10" s="2">
        <v>25</v>
      </c>
      <c r="C10" s="2">
        <v>85</v>
      </c>
    </row>
    <row r="11" spans="1:26" x14ac:dyDescent="0.25">
      <c r="A11" s="2" t="s">
        <v>108</v>
      </c>
      <c r="B11" s="2">
        <v>35</v>
      </c>
      <c r="C11" s="2">
        <v>50</v>
      </c>
      <c r="I11" s="13" t="s">
        <v>119</v>
      </c>
    </row>
    <row r="12" spans="1:26" x14ac:dyDescent="0.25">
      <c r="A12" s="2" t="s">
        <v>109</v>
      </c>
      <c r="B12" s="2">
        <v>60</v>
      </c>
      <c r="C12" s="2">
        <v>95</v>
      </c>
    </row>
    <row r="13" spans="1:26" x14ac:dyDescent="0.25">
      <c r="A13" s="2" t="s">
        <v>107</v>
      </c>
      <c r="B13" s="2">
        <v>80</v>
      </c>
    </row>
    <row r="14" spans="1:26" x14ac:dyDescent="0.25">
      <c r="A14" s="2" t="s">
        <v>106</v>
      </c>
      <c r="B14" s="2">
        <v>40</v>
      </c>
      <c r="C14" s="2">
        <v>45</v>
      </c>
    </row>
    <row r="15" spans="1:26" x14ac:dyDescent="0.25">
      <c r="A15" s="2" t="s">
        <v>105</v>
      </c>
      <c r="B15" s="2">
        <v>65</v>
      </c>
      <c r="C15" s="2">
        <v>65</v>
      </c>
    </row>
    <row r="16" spans="1:26" x14ac:dyDescent="0.25">
      <c r="A16" s="2" t="s">
        <v>107</v>
      </c>
      <c r="B16" s="2">
        <v>55</v>
      </c>
      <c r="C16" s="2">
        <v>30</v>
      </c>
      <c r="F16">
        <f>COUNTIF(A:A,D47)</f>
        <v>0</v>
      </c>
    </row>
    <row r="17" spans="1:3" x14ac:dyDescent="0.25">
      <c r="A17" s="2" t="s">
        <v>108</v>
      </c>
      <c r="B17" s="2">
        <v>70</v>
      </c>
    </row>
    <row r="18" spans="1:3" x14ac:dyDescent="0.25">
      <c r="A18" s="2" t="s">
        <v>106</v>
      </c>
      <c r="B18" s="2">
        <v>45</v>
      </c>
      <c r="C18" s="2">
        <v>80</v>
      </c>
    </row>
    <row r="19" spans="1:3" x14ac:dyDescent="0.25">
      <c r="A19" s="2" t="s">
        <v>105</v>
      </c>
      <c r="B19" s="2">
        <v>25</v>
      </c>
      <c r="C19" s="2">
        <v>60</v>
      </c>
    </row>
    <row r="20" spans="1:3" x14ac:dyDescent="0.25">
      <c r="A20" s="2" t="s">
        <v>106</v>
      </c>
      <c r="B20" s="2">
        <v>35</v>
      </c>
    </row>
    <row r="21" spans="1:3" x14ac:dyDescent="0.25">
      <c r="A21" s="2" t="s">
        <v>107</v>
      </c>
      <c r="B21" s="2">
        <v>60</v>
      </c>
      <c r="C21" s="2">
        <v>30</v>
      </c>
    </row>
    <row r="22" spans="1:3" x14ac:dyDescent="0.25">
      <c r="A22" s="2" t="s">
        <v>105</v>
      </c>
      <c r="B22" s="2">
        <v>70</v>
      </c>
      <c r="C22" s="2">
        <v>40</v>
      </c>
    </row>
    <row r="23" spans="1:3" x14ac:dyDescent="0.25">
      <c r="A23" s="2" t="s">
        <v>106</v>
      </c>
      <c r="B23" s="2">
        <v>45</v>
      </c>
      <c r="C23" s="2">
        <v>55</v>
      </c>
    </row>
    <row r="24" spans="1:3" x14ac:dyDescent="0.25">
      <c r="A24" s="2" t="s">
        <v>108</v>
      </c>
      <c r="B24" s="2">
        <v>25</v>
      </c>
      <c r="C24" s="2">
        <v>70</v>
      </c>
    </row>
    <row r="25" spans="1:3" x14ac:dyDescent="0.25">
      <c r="A25" s="2" t="s">
        <v>109</v>
      </c>
      <c r="B25" s="2">
        <v>35</v>
      </c>
    </row>
    <row r="26" spans="1:3" x14ac:dyDescent="0.25">
      <c r="A26" s="2" t="s">
        <v>107</v>
      </c>
      <c r="B26" s="2">
        <v>60</v>
      </c>
      <c r="C26" s="2">
        <v>50</v>
      </c>
    </row>
    <row r="27" spans="1:3" x14ac:dyDescent="0.25">
      <c r="A27" s="2" t="s">
        <v>106</v>
      </c>
      <c r="B27" s="2">
        <v>80</v>
      </c>
      <c r="C27" s="2">
        <v>95</v>
      </c>
    </row>
    <row r="28" spans="1:3" x14ac:dyDescent="0.25">
      <c r="A28" s="2" t="s">
        <v>105</v>
      </c>
      <c r="B28" s="2">
        <v>40</v>
      </c>
      <c r="C28" s="2">
        <v>75</v>
      </c>
    </row>
    <row r="29" spans="1:3" x14ac:dyDescent="0.25">
      <c r="A29" s="2" t="s">
        <v>107</v>
      </c>
      <c r="B29" s="2">
        <v>65</v>
      </c>
      <c r="C29" s="2">
        <v>45</v>
      </c>
    </row>
    <row r="30" spans="1:3" x14ac:dyDescent="0.25">
      <c r="A30" s="2" t="s">
        <v>106</v>
      </c>
      <c r="B30" s="2">
        <v>55</v>
      </c>
      <c r="C30" s="2">
        <v>65</v>
      </c>
    </row>
    <row r="31" spans="1:3" x14ac:dyDescent="0.25">
      <c r="A31" s="2" t="s">
        <v>108</v>
      </c>
      <c r="B31" s="2">
        <v>70</v>
      </c>
      <c r="C31" s="2">
        <v>30</v>
      </c>
    </row>
    <row r="32" spans="1:3" x14ac:dyDescent="0.25">
      <c r="A32" s="2" t="s">
        <v>105</v>
      </c>
      <c r="B32" s="2">
        <v>45</v>
      </c>
    </row>
    <row r="33" spans="1:3" x14ac:dyDescent="0.25">
      <c r="A33" s="2" t="s">
        <v>106</v>
      </c>
      <c r="B33" s="2">
        <v>25</v>
      </c>
      <c r="C33" s="2">
        <v>80</v>
      </c>
    </row>
    <row r="34" spans="1:3" x14ac:dyDescent="0.25">
      <c r="A34" s="2" t="s">
        <v>107</v>
      </c>
      <c r="B34" s="2">
        <v>35</v>
      </c>
      <c r="C34" s="2">
        <v>60</v>
      </c>
    </row>
    <row r="35" spans="1:3" x14ac:dyDescent="0.25">
      <c r="A35" s="2" t="s">
        <v>105</v>
      </c>
      <c r="B35" s="2">
        <v>60</v>
      </c>
      <c r="C35" s="2">
        <v>100</v>
      </c>
    </row>
    <row r="36" spans="1:3" x14ac:dyDescent="0.25">
      <c r="A36" s="2" t="s">
        <v>106</v>
      </c>
      <c r="B36" s="2">
        <v>80</v>
      </c>
      <c r="C36" s="2">
        <v>30</v>
      </c>
    </row>
    <row r="37" spans="1:3" x14ac:dyDescent="0.25">
      <c r="A37" s="2" t="s">
        <v>108</v>
      </c>
      <c r="B37" s="2">
        <v>40</v>
      </c>
    </row>
    <row r="38" spans="1:3" x14ac:dyDescent="0.25">
      <c r="A38" s="2" t="s">
        <v>109</v>
      </c>
      <c r="B38" s="2">
        <v>65</v>
      </c>
      <c r="C38" s="2">
        <v>55</v>
      </c>
    </row>
    <row r="39" spans="1:3" x14ac:dyDescent="0.25">
      <c r="A39" s="2" t="s">
        <v>107</v>
      </c>
      <c r="B39" s="2">
        <v>55</v>
      </c>
      <c r="C39" s="2">
        <v>70</v>
      </c>
    </row>
    <row r="40" spans="1:3" x14ac:dyDescent="0.25">
      <c r="A40" s="2" t="s">
        <v>106</v>
      </c>
      <c r="B40" s="2">
        <v>70</v>
      </c>
      <c r="C40" s="2">
        <v>85</v>
      </c>
    </row>
    <row r="41" spans="1:3" x14ac:dyDescent="0.25">
      <c r="A41" s="2" t="s">
        <v>105</v>
      </c>
      <c r="B41" s="2">
        <v>40</v>
      </c>
      <c r="C41" s="2">
        <v>50</v>
      </c>
    </row>
    <row r="42" spans="1:3" x14ac:dyDescent="0.25">
      <c r="A42" s="2" t="s">
        <v>107</v>
      </c>
      <c r="B42" s="2">
        <v>20</v>
      </c>
      <c r="C42" s="2">
        <v>95</v>
      </c>
    </row>
    <row r="43" spans="1:3" x14ac:dyDescent="0.25">
      <c r="A43" s="2" t="s">
        <v>106</v>
      </c>
      <c r="B43" s="2">
        <v>90</v>
      </c>
      <c r="C43" s="2">
        <v>75</v>
      </c>
    </row>
    <row r="44" spans="1:3" x14ac:dyDescent="0.25">
      <c r="A44" s="2" t="s">
        <v>108</v>
      </c>
      <c r="B44" s="2">
        <v>50</v>
      </c>
      <c r="C44" s="2">
        <v>45</v>
      </c>
    </row>
    <row r="45" spans="1:3" x14ac:dyDescent="0.25">
      <c r="A45" s="2" t="s">
        <v>105</v>
      </c>
      <c r="B45" s="2">
        <v>60</v>
      </c>
      <c r="C45" s="2">
        <v>65</v>
      </c>
    </row>
    <row r="46" spans="1:3" x14ac:dyDescent="0.25">
      <c r="A46" s="2" t="s">
        <v>106</v>
      </c>
      <c r="B46" s="2">
        <v>45</v>
      </c>
    </row>
    <row r="47" spans="1:3" x14ac:dyDescent="0.2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Angelina Nuzzo</cp:lastModifiedBy>
  <dcterms:modified xsi:type="dcterms:W3CDTF">2025-12-12T19:47:31Z</dcterms:modified>
</cp:coreProperties>
</file>