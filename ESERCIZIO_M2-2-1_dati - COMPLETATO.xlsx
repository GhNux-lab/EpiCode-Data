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nam\Downloads\"/>
    </mc:Choice>
  </mc:AlternateContent>
  <xr:revisionPtr revIDLastSave="0" documentId="13_ncr:1_{76B6058D-BCBA-47C5-9614-3801FB2828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otti" sheetId="1" r:id="rId1"/>
  </sheets>
  <definedNames>
    <definedName name="_xlchart.v2.0" hidden="1">Prodotti!$G$2:$G$5</definedName>
    <definedName name="_xlchart.v2.1" hidden="1">Prodotti!$H$1</definedName>
    <definedName name="_xlchart.v2.2" hidden="1">Prodotti!$H$2:$H$5</definedName>
    <definedName name="_xlchart.v2.3" hidden="1">Prodotti!$B$2:$B$11</definedName>
    <definedName name="_xlchart.v2.4" hidden="1">Prodotti!$D$2:$D$11</definedName>
    <definedName name="_xlchart.v2.5" hidden="1">Prodotti!$B$2:$B$11</definedName>
    <definedName name="_xlchart.v2.6" hidden="1">Prodotti!$D$2:$D$11</definedName>
    <definedName name="_xlnm.Print_Area" localSheetId="0">Prodotti!$A$1:$E$11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2" i="1"/>
  <c r="E2" i="1"/>
  <c r="E3" i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<sst xmlns="http://schemas.openxmlformats.org/spreadsheetml/2006/main" count="30" uniqueCount="20">
  <si>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</si>
  <si>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</si>
  <si>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</si>
  <si>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</si>
  <si>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</si>
  <si>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</si>
  <si>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</si>
  <si>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</si>
  <si>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</si>
  <si>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</si>
  <si>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</si>
  <si>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</si>
  <si>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</si>
  <si>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</si>
  <si>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</si>
  <si>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</si>
  <si>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</si>
  <si>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</si>
  <si>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</si>
  <si>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Aziende e spesa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</si>
</sst>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5" fontId="2" fillId="0" borderId="0" xfId="0" applyNumberFormat="1" applyFon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Aziende e spesa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Prodotti!$H$1</c:f>
              <c:strCache>
                <c:ptCount val="1"/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Prodotti!$G$2:$G$5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Prodotti!$H$2:$H$5</c:f>
              <c:numCache>
                <c:formatCode>#,##0.00\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8-4243-904D-A9164217D79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32569696"/>
        <c:axId val="2032570176"/>
      </c:barChart>
      <c:catAx>
        <c:axId val="2032569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2570176"/>
        <c:crosses val="autoZero"/>
        <c:auto val="1"/>
        <c:lblAlgn val="ctr"/>
        <c:lblOffset val="100"/>
        <c:noMultiLvlLbl val="0"/>
      </c:catAx>
      <c:valAx>
        <c:axId val="2032570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256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Prodotto e costi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#,##0.00\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E-47E1-B95F-B5AAA1A4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107376"/>
        <c:axId val="2039112176"/>
      </c:barChart>
      <c:catAx>
        <c:axId val="2039107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9112176"/>
        <c:crosses val="autoZero"/>
        <c:auto val="1"/>
        <c:lblAlgn val="ctr"/>
        <c:lblOffset val="100"/>
        <c:noMultiLvlLbl val="0"/>
      </c:catAx>
      <c:valAx>
        <c:axId val="203911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910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Prodotto e costi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#,##0.00\ "€"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7B-448E-B424-1F1AA4100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955344"/>
        <c:axId val="2035952464"/>
      </c:lineChart>
      <c:catAx>
        <c:axId val="203595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5952464"/>
        <c:crosses val="autoZero"/>
        <c:auto val="1"/>
        <c:lblAlgn val="ctr"/>
        <c:lblOffset val="100"/>
        <c:noMultiLvlLbl val="0"/>
      </c:catAx>
      <c:valAx>
        <c:axId val="203595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595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Aziende e spese totale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Aziende e spese totale</a:t>
          </a:r>
        </a:p>
      </cx:txPr>
    </cx:title>
    <cx:plotArea>
      <cx:plotAreaRegion>
        <cx:series layoutId="funnel" uniqueId="{8EA483EE-6DC8-49AC-81FC-2712B1C5D038}">
          <cx:tx>
            <cx:txData>
              <cx:f>_xlchart.v2.1</cx:f>
              <cx:v/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125768</xdr:colOff>
      <xdr:row>12</xdr:row>
      <xdr:rowOff>59925</xdr:rowOff>
    </xdr:from>
    <xdr:to>
      <xdr:col>10</xdr:col>
      <xdr:colOff>140563</xdr:colOff>
      <xdr:row>23</xdr:row>
      <xdr:rowOff>110971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D480503-3E76-4BA8-B9A8-B3B9E5473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399497</xdr:colOff>
      <xdr:row>26</xdr:row>
      <xdr:rowOff>59926</xdr:rowOff>
    </xdr:from>
    <xdr:to>
      <xdr:col>10</xdr:col>
      <xdr:colOff>103574</xdr:colOff>
      <xdr:row>37</xdr:row>
      <xdr:rowOff>36991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9FFB7116-333B-6580-7640-3B1FAD00C9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89652" y="5253363"/>
              <a:ext cx="3810000" cy="2174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0</xdr:col>
      <xdr:colOff>162757</xdr:colOff>
      <xdr:row>12</xdr:row>
      <xdr:rowOff>59184</xdr:rowOff>
    </xdr:from>
    <xdr:to>
      <xdr:col>3</xdr:col>
      <xdr:colOff>946952</xdr:colOff>
      <xdr:row>24</xdr:row>
      <xdr:rowOff>51046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7461E422-8F7D-6379-7F31-10B9CDF1E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495670</xdr:colOff>
      <xdr:row>26</xdr:row>
      <xdr:rowOff>22194</xdr:rowOff>
    </xdr:from>
    <xdr:to>
      <xdr:col>2</xdr:col>
      <xdr:colOff>1398233</xdr:colOff>
      <xdr:row>36</xdr:row>
      <xdr:rowOff>132425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EDAC8C9-84A4-DABF-A113-35E8CD08D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"/>
  <sheetViews>
    <sheetView tabSelected="1" view="pageLayout" zoomScaleNormal="103" workbookViewId="0">
      <selection activeCell="A12" sqref="A12:XFD12"/>
    </sheetView>
  </sheetViews>
  <sheetFormatPr defaultColWidth="12.6640625" defaultRowHeight="15.75" customHeight="1" x14ac:dyDescent="0.25"/>
  <cols>
    <col min="1" max="1" width="19.77734375" customWidth="1"/>
    <col min="2" max="3" width="22.33203125" customWidth="1"/>
    <col min="4" max="4" width="24" customWidth="1"/>
    <col min="7" max="7" width="22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5</v>
      </c>
      <c r="B2" s="2" t="s">
        <v>6</v>
      </c>
      <c r="C2" s="2">
        <v>500</v>
      </c>
      <c r="D2" s="3">
        <v>15.75</v>
      </c>
      <c r="E2" s="4">
        <f>C2 * D2</f>
        <v>7875</v>
      </c>
      <c r="G2" s="2" t="s">
        <v>5</v>
      </c>
      <c r="H2" s="4">
        <f>SUMIF(A:A,G2,E:E)</f>
        <v>25575</v>
      </c>
    </row>
    <row r="3" spans="1:26" x14ac:dyDescent="0.25">
      <c r="A3" s="2" t="s">
        <v>5</v>
      </c>
      <c r="B3" s="2" t="s">
        <v>7</v>
      </c>
      <c r="C3" s="2">
        <v>1200</v>
      </c>
      <c r="D3" s="3">
        <v>8.5</v>
      </c>
      <c r="E3" s="4">
        <f t="shared" ref="E3:E11" si="0">C3*D3</f>
        <v>10200</v>
      </c>
      <c r="G3" s="2" t="s">
        <v>8</v>
      </c>
      <c r="H3" s="4">
        <f t="shared" ref="H3:H5" si="1">SUMIF(A:A,G3,E:E)</f>
        <v>31100</v>
      </c>
    </row>
    <row r="4" spans="1:26" x14ac:dyDescent="0.25">
      <c r="A4" s="2" t="s">
        <v>8</v>
      </c>
      <c r="B4" s="2" t="s">
        <v>9</v>
      </c>
      <c r="C4" s="2">
        <v>800</v>
      </c>
      <c r="D4" s="3">
        <v>12.25</v>
      </c>
      <c r="E4" s="4">
        <f t="shared" si="0"/>
        <v>9800</v>
      </c>
      <c r="G4" s="2" t="s">
        <v>12</v>
      </c>
      <c r="H4" s="4">
        <f t="shared" si="1"/>
        <v>37725</v>
      </c>
    </row>
    <row r="5" spans="1:26" x14ac:dyDescent="0.25">
      <c r="A5" s="2" t="s">
        <v>5</v>
      </c>
      <c r="B5" s="2" t="s">
        <v>10</v>
      </c>
      <c r="C5" s="2">
        <v>300</v>
      </c>
      <c r="D5" s="3">
        <v>25</v>
      </c>
      <c r="E5" s="4">
        <f t="shared" si="0"/>
        <v>7500</v>
      </c>
      <c r="G5" s="2" t="s">
        <v>17</v>
      </c>
      <c r="H5" s="4">
        <f t="shared" si="1"/>
        <v>13500</v>
      </c>
    </row>
    <row r="6" spans="1:26" x14ac:dyDescent="0.25">
      <c r="A6" s="2" t="s">
        <v>8</v>
      </c>
      <c r="B6" s="2" t="s">
        <v>11</v>
      </c>
      <c r="C6" s="2">
        <v>1500</v>
      </c>
      <c r="D6" s="3">
        <v>6.5</v>
      </c>
      <c r="E6" s="4">
        <f t="shared" si="0"/>
        <v>9750</v>
      </c>
    </row>
    <row r="7" spans="1:26" x14ac:dyDescent="0.25">
      <c r="A7" s="2" t="s">
        <v>12</v>
      </c>
      <c r="B7" s="2" t="s">
        <v>13</v>
      </c>
      <c r="C7" s="2">
        <v>700</v>
      </c>
      <c r="D7" s="3">
        <v>18.75</v>
      </c>
      <c r="E7" s="4">
        <f t="shared" si="0"/>
        <v>13125</v>
      </c>
    </row>
    <row r="8" spans="1:26" x14ac:dyDescent="0.25">
      <c r="A8" s="2" t="s">
        <v>12</v>
      </c>
      <c r="B8" s="2" t="s">
        <v>14</v>
      </c>
      <c r="C8" s="2">
        <v>900</v>
      </c>
      <c r="D8" s="3">
        <v>14</v>
      </c>
      <c r="E8" s="4">
        <f t="shared" si="0"/>
        <v>12600</v>
      </c>
    </row>
    <row r="9" spans="1:26" x14ac:dyDescent="0.25">
      <c r="A9" s="2" t="s">
        <v>8</v>
      </c>
      <c r="B9" s="2" t="s">
        <v>15</v>
      </c>
      <c r="C9" s="2">
        <v>1100</v>
      </c>
      <c r="D9" s="3">
        <v>10.5</v>
      </c>
      <c r="E9" s="4">
        <f t="shared" si="0"/>
        <v>11550</v>
      </c>
    </row>
    <row r="10" spans="1:26" x14ac:dyDescent="0.25">
      <c r="A10" s="2" t="s">
        <v>12</v>
      </c>
      <c r="B10" s="2" t="s">
        <v>16</v>
      </c>
      <c r="C10" s="2">
        <v>600</v>
      </c>
      <c r="D10" s="3">
        <v>20</v>
      </c>
      <c r="E10" s="4">
        <f t="shared" si="0"/>
        <v>12000</v>
      </c>
    </row>
    <row r="11" spans="1:26" x14ac:dyDescent="0.25">
      <c r="A11" s="2" t="s">
        <v>17</v>
      </c>
      <c r="B11" s="2" t="s">
        <v>18</v>
      </c>
      <c r="C11" s="2">
        <v>1000</v>
      </c>
      <c r="D11" s="3">
        <v>13.5</v>
      </c>
      <c r="E11" s="4">
        <f t="shared" si="0"/>
        <v>13500</v>
      </c>
    </row>
  </sheetData>
  <pageMargins left="0.19685039370078741" right="0.19685039370078741" top="0.55118110236220474" bottom="0.39370078740157483" header="0.31496062992125984" footer="0.31496062992125984"/>
  <pageSetup paperSize="9" orientation="portrait" horizontalDpi="1200" verticalDpi="1200" r:id="rId1"/>
  <headerFooter>
    <oddHeader>&amp;LSpese recenti</oddHeader>
    <oddFooter>&amp;CPagina &amp;P di &amp;N
&amp;D&amp;T</oddFooter>
  </headerFooter>
  <rowBreaks count="1" manualBreakCount="1">
    <brk id="1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Angelina Nuzzo</cp:lastModifiedBy>
  <dcterms:modified xsi:type="dcterms:W3CDTF">2026-01-11T15:22:15Z</dcterms:modified>
</cp:coreProperties>
</file>